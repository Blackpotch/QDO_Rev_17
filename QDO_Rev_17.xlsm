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2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drawings/drawing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8659ea290c747b7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tumpers\PIRSA\QDO_Rev_2017\"/>
    </mc:Choice>
  </mc:AlternateContent>
  <bookViews>
    <workbookView showSheetTabs="0" xWindow="120" yWindow="72" windowWidth="15468" windowHeight="11640"/>
  </bookViews>
  <sheets>
    <sheet name="DOrder" sheetId="1" r:id="rId1"/>
    <sheet name="Data" sheetId="2" state="hidden" r:id="rId2"/>
    <sheet name="Details" sheetId="3" state="hidden" r:id="rId3"/>
    <sheet name="Trucks" sheetId="5" state="veryHidden" r:id="rId4"/>
    <sheet name="Importers" sheetId="6" state="veryHidden" r:id="rId5"/>
    <sheet name="Exporters" sheetId="7" state="veryHidden" r:id="rId6"/>
  </sheets>
  <definedNames>
    <definedName name="_xlnm._FilterDatabase" localSheetId="1" hidden="1">Data!$C$5:$AU$208</definedName>
    <definedName name="_xlnm._FilterDatabase" localSheetId="4" hidden="1">Importers!$B$6:$J$93</definedName>
    <definedName name="Anchor">Data!$C$208:$AB$208</definedName>
    <definedName name="CommonFurtherDirections">Details!$B$211:$B$217</definedName>
    <definedName name="CommonOtherReasons">Details!$B$200:$B$206</definedName>
    <definedName name="CompanyAddress">DOrder!$L$22</definedName>
    <definedName name="CompanyName">DOrder!$D$22</definedName>
    <definedName name="ContactDetails">Details!$B$187:$B$195</definedName>
    <definedName name="Conveyance">DOrder!$C$12</definedName>
    <definedName name="DData">Data!$C$5:$AB$208</definedName>
    <definedName name="Directions">DOrder!$B$44</definedName>
    <definedName name="DOCompanies">Data!$D$6:$D$208</definedName>
    <definedName name="DOData">Data!$C$6:$AB$208</definedName>
    <definedName name="DONum">DOrder!$P$12</definedName>
    <definedName name="DONums">Data!$C$6:$C$208</definedName>
    <definedName name="DriverAddress">DOrder!$D$19</definedName>
    <definedName name="DriverDate">DOrder!$M$52</definedName>
    <definedName name="DriverLicence">DOrder!$P$19</definedName>
    <definedName name="DriverName">DOrder!$M$51</definedName>
    <definedName name="DriverTime">DOrder!$Q$52</definedName>
    <definedName name="ETA">DOrder!$D$32</definedName>
    <definedName name="Exporters">Exporters!$F$9:$F$142</definedName>
    <definedName name="FurtherDirections">DOrder!$G$13</definedName>
    <definedName name="Importers">Importers!$B$7:$B$175</definedName>
    <definedName name="InspectorDate">DOrder!$C$52</definedName>
    <definedName name="InspectorDetails">DOrder!$G$12</definedName>
    <definedName name="InspectorID">DOrder!$I$51</definedName>
    <definedName name="InspectorName">DOrder!$C$51</definedName>
    <definedName name="InspectorTime">DOrder!$I$52</definedName>
    <definedName name="ItemDescription">DOrder!$P$31</definedName>
    <definedName name="ItemDestination">DOrder!$D$29</definedName>
    <definedName name="ItemDestinationAddress">DOrder!$D$30</definedName>
    <definedName name="ItemDestinationPhone">DOrder!$P$29</definedName>
    <definedName name="ItemOrigin">DOrder!$D$25</definedName>
    <definedName name="ItemOriginAddress">DOrder!$M$25</definedName>
    <definedName name="ItemOriginIfDiff">DOrder!$H$26</definedName>
    <definedName name="ItemPackaging">DOrder!$J$31</definedName>
    <definedName name="ItemQuantity">DOrder!$D$31</definedName>
    <definedName name="LAnchor">Data!$C$208</definedName>
    <definedName name="Location">Details!$D$38</definedName>
    <definedName name="OtherAction">DOrder!$B$60</definedName>
    <definedName name="OtherReasons">DOrder!$B$36</definedName>
    <definedName name="PackageTypes">Details!$B$52:$B$68</definedName>
    <definedName name="_xlnm.Print_Area" localSheetId="0">DOrder!$B$7:$S$68</definedName>
    <definedName name="Produce">Details!$B$72:$B$182</definedName>
    <definedName name="Roadblocks">Details!$D$43:$D$48</definedName>
    <definedName name="SaveFlag">Data!#REF!</definedName>
    <definedName name="SignOffDate">DOrder!$F$64</definedName>
    <definedName name="SignOffName">DOrder!$F$62</definedName>
    <definedName name="StaffCED">Details!$B$7:$B$34</definedName>
    <definedName name="StaffOOD">Details!$H$7:$H$34</definedName>
    <definedName name="StaffPIN">Details!$D$7:$D$34</definedName>
    <definedName name="StaffPKA">Details!$F$7:$F$34</definedName>
    <definedName name="StaffREG">Details!$L$7:$L$34</definedName>
    <definedName name="StaffYAM">Details!$J$7:$J$34</definedName>
    <definedName name="TANCHOR">Trucks!$B$106</definedName>
    <definedName name="TData">Trucks!$B$8:$J$108</definedName>
    <definedName name="TTrucks">Trucks!$B$8:$B$108</definedName>
    <definedName name="VehicleReg">DOrder!$P$18</definedName>
  </definedNames>
  <calcPr calcId="152511"/>
</workbook>
</file>

<file path=xl/calcChain.xml><?xml version="1.0" encoding="utf-8"?>
<calcChain xmlns="http://schemas.openxmlformats.org/spreadsheetml/2006/main">
  <c r="D18" i="1" l="1"/>
  <c r="F9" i="7" l="1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</calcChain>
</file>

<file path=xl/sharedStrings.xml><?xml version="1.0" encoding="utf-8"?>
<sst xmlns="http://schemas.openxmlformats.org/spreadsheetml/2006/main" count="6290" uniqueCount="3449">
  <si>
    <t>W0132-01</t>
  </si>
  <si>
    <t>V Della Franca and Co</t>
  </si>
  <si>
    <t>211 Pickering Brook Rd</t>
  </si>
  <si>
    <t>W0061-01</t>
  </si>
  <si>
    <t>Van Ly Nguyen and Nhung To</t>
  </si>
  <si>
    <t>SX11EH</t>
  </si>
  <si>
    <t>10:19 pm</t>
  </si>
  <si>
    <t>DRY CREEK</t>
  </si>
  <si>
    <t>ANDREW MATHEWS</t>
  </si>
  <si>
    <t>20-Nov-2010</t>
  </si>
  <si>
    <t>6:49 pm</t>
  </si>
  <si>
    <t>336</t>
  </si>
  <si>
    <t xml:space="preserve">Ralph Berry qld </t>
  </si>
  <si>
    <t>Coles W.A.</t>
  </si>
  <si>
    <t>Lot 2 Mullewa Road</t>
  </si>
  <si>
    <t>Moonyoorook</t>
  </si>
  <si>
    <t>W0150-01</t>
  </si>
  <si>
    <t>VH &amp; VN Doan</t>
  </si>
  <si>
    <t>44 Joyce Road</t>
  </si>
  <si>
    <t>Gnangarra</t>
  </si>
  <si>
    <t>W0253-01</t>
  </si>
  <si>
    <t>VP and EA Farrell</t>
  </si>
  <si>
    <t>Hawk Road</t>
  </si>
  <si>
    <t>W0242-01</t>
  </si>
  <si>
    <t>W French and Co</t>
  </si>
  <si>
    <t>Loc 10060, Channybearup Rd</t>
  </si>
  <si>
    <t>W0238-01</t>
  </si>
  <si>
    <t>Wesgrowers Pty Ltd</t>
  </si>
  <si>
    <t>250 Bernard Rd North</t>
  </si>
  <si>
    <t>W0002-01</t>
  </si>
  <si>
    <t>Westland Orchards</t>
  </si>
  <si>
    <t>Lot 131 Sth West Hwy</t>
  </si>
  <si>
    <t>W0019-01</t>
  </si>
  <si>
    <t>Winterbrook Avocados</t>
  </si>
  <si>
    <t>Lot 5 Loc 3722 Graphite Rd</t>
  </si>
  <si>
    <t>W0171-01</t>
  </si>
  <si>
    <t>Worldlink International</t>
  </si>
  <si>
    <t>71 Affleck Rd</t>
  </si>
  <si>
    <t>Perth International Airport</t>
  </si>
  <si>
    <t>W0144-01</t>
  </si>
  <si>
    <t>WR &amp; RA Tweedie</t>
  </si>
  <si>
    <t>382 Chesterpass Rd</t>
  </si>
  <si>
    <t>W0270-01</t>
  </si>
  <si>
    <t>Wringe and Quick</t>
  </si>
  <si>
    <t>1454 Upper Capel Rd</t>
  </si>
  <si>
    <t>W0229-01</t>
  </si>
  <si>
    <t>Erceg Holdings Pty Ltd (DB)</t>
  </si>
  <si>
    <t>R &amp; S Bamess (Sr)</t>
  </si>
  <si>
    <t>R &amp; S Bamess (Cr)</t>
  </si>
  <si>
    <t>VV84IN</t>
  </si>
  <si>
    <t>11:12 pm</t>
  </si>
  <si>
    <t>david</t>
  </si>
  <si>
    <t>30-Nov-2011</t>
  </si>
  <si>
    <t>7:42 pm</t>
  </si>
  <si>
    <t>Cummings prod</t>
  </si>
  <si>
    <t>Ray gregory &amp; sons vic</t>
  </si>
  <si>
    <t>Full Address</t>
  </si>
  <si>
    <t>Lettuce</t>
  </si>
  <si>
    <t>Cauliflower</t>
  </si>
  <si>
    <t>Broccoli</t>
  </si>
  <si>
    <t>Bulk Bags</t>
  </si>
  <si>
    <t>Garlic</t>
  </si>
  <si>
    <t>Allium</t>
  </si>
  <si>
    <t>Peas</t>
  </si>
  <si>
    <t>Ceduna Quarantine Station Inspection Staff 08 8625 2108</t>
  </si>
  <si>
    <t>Yamba Quarantine Station Inspection Staff 08 8595 5019</t>
  </si>
  <si>
    <t>Pinnaroo Quarantine Station Inspection Staff 08 8577 8321</t>
  </si>
  <si>
    <t>Oodlawirra Quarantine Station Inspection Staff 08 86505930</t>
  </si>
  <si>
    <t>Seed Potatoes</t>
  </si>
  <si>
    <t>Loads</t>
  </si>
  <si>
    <t>QUARANTINE DIRECTION ORDER</t>
  </si>
  <si>
    <t>Plums</t>
  </si>
  <si>
    <t>Quinces</t>
  </si>
  <si>
    <t>Mangoes</t>
  </si>
  <si>
    <t>Mangosteens</t>
  </si>
  <si>
    <t>Marrows</t>
  </si>
  <si>
    <t>Medlar</t>
  </si>
  <si>
    <t>Nectarines</t>
  </si>
  <si>
    <t>Maize Seed</t>
  </si>
  <si>
    <t>Fodder</t>
  </si>
  <si>
    <t>Silverbeet</t>
  </si>
  <si>
    <t>Snow Peas</t>
  </si>
  <si>
    <t>Grape Marc</t>
  </si>
  <si>
    <t>Grape Must</t>
  </si>
  <si>
    <t>Chives</t>
  </si>
  <si>
    <t>Cherries</t>
  </si>
  <si>
    <t>Cabbage</t>
  </si>
  <si>
    <t>Soil</t>
  </si>
  <si>
    <t>Apricots</t>
  </si>
  <si>
    <t>Aubergines</t>
  </si>
  <si>
    <t>Butternut Pumpkins</t>
  </si>
  <si>
    <t>Wilmot Refrigerated Transport</t>
  </si>
  <si>
    <t>Mallards Rd, Pittsworth Qld, 4356</t>
  </si>
  <si>
    <t>Mallards Road</t>
  </si>
  <si>
    <t>Pittsworth</t>
  </si>
  <si>
    <t>Jolly &amp; Sons</t>
  </si>
  <si>
    <t>44 Feldspar St, Welshpool WA, 6106</t>
  </si>
  <si>
    <t>44 Feldspar St</t>
  </si>
  <si>
    <t>Welshpool 6106</t>
  </si>
  <si>
    <t>SX 12EK</t>
  </si>
  <si>
    <t>10:03 pm</t>
  </si>
  <si>
    <t>Trever</t>
  </si>
  <si>
    <t>21-Dec-2011</t>
  </si>
  <si>
    <t>6:33 pm</t>
  </si>
  <si>
    <t>300</t>
  </si>
  <si>
    <t>Coles Glen Iris</t>
  </si>
  <si>
    <t>Coles Adelaide</t>
  </si>
  <si>
    <t>Aset Services</t>
  </si>
  <si>
    <t>RSD 85, Strathalbyn SA, 5255</t>
  </si>
  <si>
    <t>Strathalbyn SA</t>
  </si>
  <si>
    <t>(08) 85375020</t>
  </si>
  <si>
    <t>spitt@ruralnet.net.au</t>
  </si>
  <si>
    <t>WA</t>
  </si>
  <si>
    <t>Coromandel Nursery</t>
  </si>
  <si>
    <t>Rmb 840, Star And Arrow Rd</t>
  </si>
  <si>
    <t>8388 2777</t>
  </si>
  <si>
    <t>8388 2711</t>
  </si>
  <si>
    <t>Virginia Nursery Pty Ltd</t>
  </si>
  <si>
    <t>Po Box 447</t>
  </si>
  <si>
    <t>08 83809560</t>
  </si>
  <si>
    <t>83809767</t>
  </si>
  <si>
    <t>Topgun Produce Wholesalers</t>
  </si>
  <si>
    <t>Box 197</t>
  </si>
  <si>
    <t>81824115 /silent</t>
  </si>
  <si>
    <t>TopgunJA@bigpond.com</t>
  </si>
  <si>
    <t>Leconti Farms (Sa)</t>
  </si>
  <si>
    <t>Beans</t>
  </si>
  <si>
    <t>4:32 pm</t>
  </si>
  <si>
    <t>Pooraka Marktes</t>
  </si>
  <si>
    <t>Craig</t>
  </si>
  <si>
    <t>04-Nov-2009</t>
  </si>
  <si>
    <t>1:02 pm</t>
  </si>
  <si>
    <t>78</t>
  </si>
  <si>
    <t>Freashways GATTON</t>
  </si>
  <si>
    <t>Coles</t>
  </si>
  <si>
    <t>Po Box 683</t>
  </si>
  <si>
    <t>08 8380 8667</t>
  </si>
  <si>
    <t>08 8380 8686</t>
  </si>
  <si>
    <t>Tth Do Pty Ltd</t>
  </si>
  <si>
    <t>Lot 16 Robinson Road,</t>
  </si>
  <si>
    <t>lamgiang@bigpond.com</t>
  </si>
  <si>
    <t>Zz Mcn Vegetable Wholesalers</t>
  </si>
  <si>
    <t>98 Torrens Rd</t>
  </si>
  <si>
    <t>0418 849061</t>
  </si>
  <si>
    <t>83402082</t>
  </si>
  <si>
    <t>K Quan Nominees  Pty Ltd Att: Loan Tran</t>
  </si>
  <si>
    <t>Po Box 605</t>
  </si>
  <si>
    <t>8380 9246</t>
  </si>
  <si>
    <t>8380 9740</t>
  </si>
  <si>
    <t>kquan@senet.com.au</t>
  </si>
  <si>
    <t>Ttd Le P/L</t>
  </si>
  <si>
    <t>Po Box 735</t>
  </si>
  <si>
    <t>8 380 9532</t>
  </si>
  <si>
    <t>8 380 9318</t>
  </si>
  <si>
    <t>arharidis_em@bigpond.com</t>
  </si>
  <si>
    <t>Plummers Border Valley Orchards</t>
  </si>
  <si>
    <t>Plummer Road</t>
  </si>
  <si>
    <t>08 83898318</t>
  </si>
  <si>
    <t>08 83898547</t>
  </si>
  <si>
    <t>robertplummersbvo.com.au</t>
  </si>
  <si>
    <t>Tmh Corporations Pty Ltd</t>
  </si>
  <si>
    <t>Po Box 624</t>
  </si>
  <si>
    <t>08 83809521</t>
  </si>
  <si>
    <t>08 83808367</t>
  </si>
  <si>
    <t>vegifresh@iprimus.com.au</t>
  </si>
  <si>
    <t>Agriexchange Pty. Ltd.</t>
  </si>
  <si>
    <t>Pmb 52 Chowilla Street</t>
  </si>
  <si>
    <t>08 8586 1200</t>
  </si>
  <si>
    <t>08 8595 1394</t>
  </si>
  <si>
    <t>karryn.roupas@costaexchange.com.au</t>
  </si>
  <si>
    <t>Zz Kangara Foods Pty Ltd</t>
  </si>
  <si>
    <t>Po Box 808</t>
  </si>
  <si>
    <t>8595 8000</t>
  </si>
  <si>
    <t>8595 8111</t>
  </si>
  <si>
    <t>Lochert Bros P/L</t>
  </si>
  <si>
    <t>Po Box 358</t>
  </si>
  <si>
    <t>8541 0200</t>
  </si>
  <si>
    <t>8541 0205</t>
  </si>
  <si>
    <t>gregpickert@hotkey.net.au</t>
  </si>
  <si>
    <t>Tc Luong</t>
  </si>
  <si>
    <t>20-Sep-2011</t>
  </si>
  <si>
    <t>12:03 pm</t>
  </si>
  <si>
    <t>Po Box 809 King Road</t>
  </si>
  <si>
    <t>0418 808 118</t>
  </si>
  <si>
    <t>8 1823 488</t>
  </si>
  <si>
    <t>Does not have one</t>
  </si>
  <si>
    <t>Drury Orchards Pty Ltd</t>
  </si>
  <si>
    <t>C/O Post Office</t>
  </si>
  <si>
    <t>08 8380 5301</t>
  </si>
  <si>
    <t>08 8380 5421</t>
  </si>
  <si>
    <t>drurysorchard@bigpond.com</t>
  </si>
  <si>
    <t>Virginia Packing Shed Sa Pty Ltd</t>
  </si>
  <si>
    <t>Po Box 1016,</t>
  </si>
  <si>
    <t>8380 9860</t>
  </si>
  <si>
    <t>8380 9465</t>
  </si>
  <si>
    <t>NV40GC</t>
  </si>
  <si>
    <t>2:57 am</t>
  </si>
  <si>
    <t>fletchers depot  563 Grand Junctoin Road WINGFIELD SA</t>
  </si>
  <si>
    <t>MARK  FLEMWELL</t>
  </si>
  <si>
    <t>11:27 pm</t>
  </si>
  <si>
    <t>120</t>
  </si>
  <si>
    <t>Perfection fresh sydney markets  2129</t>
  </si>
  <si>
    <t>kathy@vpssa.com.au</t>
  </si>
  <si>
    <t>Joyson Orchards Pty Ltd T/A Joyson Orchards Trust</t>
  </si>
  <si>
    <t>8389 8506</t>
  </si>
  <si>
    <t>8389 8564</t>
  </si>
  <si>
    <t>gavinm@joysons.com.au</t>
  </si>
  <si>
    <t>4 Ways Pty Ltd</t>
  </si>
  <si>
    <t>Po Box 916</t>
  </si>
  <si>
    <t>8 380 8317</t>
  </si>
  <si>
    <t>8 380 8432</t>
  </si>
  <si>
    <t>hoangduyly@bigpond.com</t>
  </si>
  <si>
    <t>gtproduce@senet.com.au</t>
  </si>
  <si>
    <t>National Foods</t>
  </si>
  <si>
    <t>Po Box 296</t>
  </si>
  <si>
    <t>08 8580 8260</t>
  </si>
  <si>
    <t>08 8580 8351</t>
  </si>
  <si>
    <t>bruce@stevesorganics.com.au</t>
  </si>
  <si>
    <t>paul.maione@chiquita.com.au</t>
  </si>
  <si>
    <t>World Asian Grocery Pty Ltd</t>
  </si>
  <si>
    <t>26 Catalina Avenue</t>
  </si>
  <si>
    <t>08 8258 5198</t>
  </si>
  <si>
    <t>08 8182 5066</t>
  </si>
  <si>
    <t>Green kiwifruit</t>
  </si>
  <si>
    <t>SX89DY</t>
  </si>
  <si>
    <t>08.45am</t>
  </si>
  <si>
    <t>Fresh Exchange Pty Ltd, Store 25 &amp; 26, Adelaide Produce Markets, Pooraka SA, 5095</t>
  </si>
  <si>
    <t>steve bottom</t>
  </si>
  <si>
    <t>23-Oct-2009</t>
  </si>
  <si>
    <t>9.22pm</t>
  </si>
  <si>
    <t>66o</t>
  </si>
  <si>
    <t>Brisbane markets</t>
  </si>
  <si>
    <t>M &amp; A Mercorella Pty Ltd</t>
  </si>
  <si>
    <t>Po Box 27</t>
  </si>
  <si>
    <t>08 8280 8150</t>
  </si>
  <si>
    <t>08 8280 8848</t>
  </si>
  <si>
    <t>arthursinger@mercorella.com.au</t>
  </si>
  <si>
    <t>Bordertown Fruit Market</t>
  </si>
  <si>
    <t>92 Farquhar Street</t>
  </si>
  <si>
    <t>08 8752 0466</t>
  </si>
  <si>
    <t>08 5392 3213</t>
  </si>
  <si>
    <t>lesvos@netconnect.com.au</t>
  </si>
  <si>
    <t>Rivergold Foods Pty Ltd</t>
  </si>
  <si>
    <t>1/6 Mcgowan Street</t>
  </si>
  <si>
    <t>08 8262 4777</t>
  </si>
  <si>
    <t>08 8262 5777</t>
  </si>
  <si>
    <t>genmgr@rivergoldfoods.com.au</t>
  </si>
  <si>
    <t>Freshace Pty Ltd</t>
  </si>
  <si>
    <t>C/- Gambier West Post Office</t>
  </si>
  <si>
    <t>08 8725 3816</t>
  </si>
  <si>
    <t>08 8725 1782</t>
  </si>
  <si>
    <t>05-Dec-2009</t>
  </si>
  <si>
    <t>2:45 pm</t>
  </si>
  <si>
    <t>Pyramid Organic Produce</t>
  </si>
  <si>
    <t>8-10 C.B. Fisher Drive, Cavan, SA 5094</t>
  </si>
  <si>
    <t>Paul firth</t>
  </si>
  <si>
    <t>16-May-2010</t>
  </si>
  <si>
    <t>6:23 pm</t>
  </si>
  <si>
    <t>C.A.Bradford 103 Annie drive Cawarral QLD 4702</t>
  </si>
  <si>
    <t>Harry Bradford</t>
  </si>
  <si>
    <t>Wattle Park Cawarral Q.L.D 4702</t>
  </si>
  <si>
    <t>9:59 pm</t>
  </si>
  <si>
    <t>Paul Firth</t>
  </si>
  <si>
    <t>6:29 pm</t>
  </si>
  <si>
    <t>Harry Bradford Q.L.d</t>
  </si>
  <si>
    <t>32 Pederick Road</t>
  </si>
  <si>
    <t>08 8524 3677</t>
  </si>
  <si>
    <t>08 8524 3706</t>
  </si>
  <si>
    <t>pyramidorganics@baonline.com.au</t>
  </si>
  <si>
    <t>Spec Enterprises Pty Ltd / Andami</t>
  </si>
  <si>
    <t>80 Jubilee Highway West</t>
  </si>
  <si>
    <t>08 8724 9888</t>
  </si>
  <si>
    <t>08 8723 2125</t>
  </si>
  <si>
    <t>andami-jh@bigpond.com</t>
  </si>
  <si>
    <t>Knispel Bros Pty Ltd</t>
  </si>
  <si>
    <t>Po Box 15</t>
  </si>
  <si>
    <t>08 8583 9251</t>
  </si>
  <si>
    <t>08 8583 9388</t>
  </si>
  <si>
    <t>nippy@hotkey.net.au</t>
  </si>
  <si>
    <t>Lenswood Cold Stores C0-Operative Society  Limited</t>
  </si>
  <si>
    <t>Coldstore Road</t>
  </si>
  <si>
    <t>08 8389 8300</t>
  </si>
  <si>
    <t>08 8389 8570</t>
  </si>
  <si>
    <t>james@lenswoodcoop.com.au</t>
  </si>
  <si>
    <t>Woolworths Limited</t>
  </si>
  <si>
    <t>Po Box 2332</t>
  </si>
  <si>
    <t>08 8206 5660</t>
  </si>
  <si>
    <t>08 8206 5699</t>
  </si>
  <si>
    <t>bstockham@woolworths.com.au</t>
  </si>
  <si>
    <t>Aritiara Pty Ltd</t>
  </si>
  <si>
    <t>Store 57 - Apml, Diagonal Road</t>
  </si>
  <si>
    <t>08 8349 8933</t>
  </si>
  <si>
    <t>08 8349 8922</t>
  </si>
  <si>
    <t>Lenhan Fruit &amp; Veg</t>
  </si>
  <si>
    <t>93 Royal Avenue</t>
  </si>
  <si>
    <t>08 8349 4748</t>
  </si>
  <si>
    <t>Hillview Fresh Pty Ltd</t>
  </si>
  <si>
    <t>Store 9 - Apml, Diagonal Road</t>
  </si>
  <si>
    <t>08 8349 9993</t>
  </si>
  <si>
    <t>08 8349 8139</t>
  </si>
  <si>
    <t>ashgreen@senet.com.au</t>
  </si>
  <si>
    <t>Pacific Seeds Pty Ltd</t>
  </si>
  <si>
    <t>14/95 Womma Road</t>
  </si>
  <si>
    <t>08 8256 0946</t>
  </si>
  <si>
    <t>andrew.etherton@pacseeds.com.au</t>
  </si>
  <si>
    <t>Pacillo Fruit &amp; Veg</t>
  </si>
  <si>
    <t>13 Meredith Street</t>
  </si>
  <si>
    <t>08 8365 7622</t>
  </si>
  <si>
    <t>08 8365 4522</t>
  </si>
  <si>
    <t>nevio@kern.com.au</t>
  </si>
  <si>
    <t>Pioneer Hi-Bred Australia Pty Ltd</t>
  </si>
  <si>
    <t>113 Billabong Road</t>
  </si>
  <si>
    <t>02 688 92299</t>
  </si>
  <si>
    <t>02 688 92490</t>
  </si>
  <si>
    <t>NV23FZ</t>
  </si>
  <si>
    <t>pooraka</t>
  </si>
  <si>
    <t>chris cheney</t>
  </si>
  <si>
    <t>28-Oct-2012</t>
  </si>
  <si>
    <t>14</t>
  </si>
  <si>
    <t>Newfresh Food</t>
  </si>
  <si>
    <t>7:45 pm</t>
  </si>
  <si>
    <t>hris Cheney</t>
  </si>
  <si>
    <t>4:15 pm</t>
  </si>
  <si>
    <t>Its Fresh Produce</t>
  </si>
  <si>
    <t>Zz Smokemart - Castle Plaza</t>
  </si>
  <si>
    <t xml:space="preserve"> Po Box 350</t>
  </si>
  <si>
    <t>08 8374 2877</t>
  </si>
  <si>
    <t>08 8277 7004</t>
  </si>
  <si>
    <t>adeeb@e-access.com.au</t>
  </si>
  <si>
    <t>Barlease Nominees Pty Ltd</t>
  </si>
  <si>
    <t>Lot 16 Cardiff Court</t>
  </si>
  <si>
    <t>08 8262 7001</t>
  </si>
  <si>
    <t>08 8262 7121</t>
  </si>
  <si>
    <t>Diternal Foods Pty Ltd</t>
  </si>
  <si>
    <t>1201 Main North Road</t>
  </si>
  <si>
    <t>08 8349 4788</t>
  </si>
  <si>
    <t>08 8365 8914</t>
  </si>
  <si>
    <t>hpstrans@bigpond.net.au</t>
  </si>
  <si>
    <t>Giang And Giang Pty Ltd</t>
  </si>
  <si>
    <t>17June Street</t>
  </si>
  <si>
    <t>08 8345 4066</t>
  </si>
  <si>
    <t>08 8268 3678</t>
  </si>
  <si>
    <t>Store 16 Adelaide Produce Markets</t>
  </si>
  <si>
    <t>08 8349 6249</t>
  </si>
  <si>
    <t>08 8349 6484</t>
  </si>
  <si>
    <t>polverino@internode.on.net</t>
  </si>
  <si>
    <t>Jarrett Services Pty. Ltd.</t>
  </si>
  <si>
    <t>Po Box 153</t>
  </si>
  <si>
    <t>08 8367 6335</t>
  </si>
  <si>
    <t>08 8367 6322</t>
  </si>
  <si>
    <t>info@jarrettservices.com.au</t>
  </si>
  <si>
    <t>Lenhan</t>
  </si>
  <si>
    <t>93 Royal Ave</t>
  </si>
  <si>
    <t>Ralph Ceravolo &amp; Company</t>
  </si>
  <si>
    <t>Po Box 111</t>
  </si>
  <si>
    <t>8390 3678</t>
  </si>
  <si>
    <t>8390 1499</t>
  </si>
  <si>
    <t>rceravolo@bigpond.com</t>
  </si>
  <si>
    <t>rbrotolo@adam.com.au</t>
  </si>
  <si>
    <t>A C Gibson Pty. Ltd.</t>
  </si>
  <si>
    <t>8 Lowanna Road</t>
  </si>
  <si>
    <t>cagibbo@internode.on.net</t>
  </si>
  <si>
    <t>George Mercurio Pty. Ltd.</t>
  </si>
  <si>
    <t>Store 6,7,8, Apml, Diagonal Road</t>
  </si>
  <si>
    <t>accounts@bache.com.au</t>
  </si>
  <si>
    <t>Collins Orchards Rose Brand Sales Pty. Ltd</t>
  </si>
  <si>
    <t>Store C49, Apml, Diagonal Road</t>
  </si>
  <si>
    <t>tim@collinsorchards.com.au</t>
  </si>
  <si>
    <t>Lamanna Group (Adelaide)</t>
  </si>
  <si>
    <t>Store C31, Apml, Diagonal Road</t>
  </si>
  <si>
    <t>V &amp; A Stamatopoulos Pty. Ltd.</t>
  </si>
  <si>
    <t>Store 45, Apml, Diagonal Road</t>
  </si>
  <si>
    <t>david@trosti.com</t>
  </si>
  <si>
    <t>Farmhouse Fresh S.A.</t>
  </si>
  <si>
    <t>Store 19 &amp; 20, Apml, Diagonal Road</t>
  </si>
  <si>
    <t>Cousins Produce Unit Trust</t>
  </si>
  <si>
    <t>P O Box 508</t>
  </si>
  <si>
    <t>08 83808977</t>
  </si>
  <si>
    <t>08 83808933</t>
  </si>
  <si>
    <t>cousinsprod@bigpond.com</t>
  </si>
  <si>
    <t>merc2@internode.on.net</t>
  </si>
  <si>
    <t>Af Parker &amp; Sons</t>
  </si>
  <si>
    <t>Range Road</t>
  </si>
  <si>
    <t>SX58EE</t>
  </si>
  <si>
    <t>POORAKA</t>
  </si>
  <si>
    <t>BARRY</t>
  </si>
  <si>
    <t>30-Dec-2009</t>
  </si>
  <si>
    <t>1:33 pm</t>
  </si>
  <si>
    <t>*8</t>
  </si>
  <si>
    <t>Brisbane  depot</t>
  </si>
  <si>
    <t>Seedling</t>
  </si>
  <si>
    <t>David Coe</t>
  </si>
  <si>
    <t>QVO9TI</t>
  </si>
  <si>
    <t>10:26 pm</t>
  </si>
  <si>
    <t>woolworth adelaide</t>
  </si>
  <si>
    <t>alex leith</t>
  </si>
  <si>
    <t>09-Apr-2012</t>
  </si>
  <si>
    <t>6:56 pm</t>
  </si>
  <si>
    <t>19</t>
  </si>
  <si>
    <t>01-Jan-2012</t>
  </si>
  <si>
    <t>2:16 pm</t>
  </si>
  <si>
    <t>Highsun expess Qld</t>
  </si>
  <si>
    <t>Harris REf (Dry Creek)</t>
  </si>
  <si>
    <t>5:52 pm</t>
  </si>
  <si>
    <t>2:22 pm</t>
  </si>
  <si>
    <t>30</t>
  </si>
  <si>
    <t>Highsun Express  QLD</t>
  </si>
  <si>
    <t>Harris Ref (dry Creek)</t>
  </si>
  <si>
    <t>Barkar boy  proc sa</t>
  </si>
  <si>
    <t>16-Oct-2009</t>
  </si>
  <si>
    <t>11:08 pm</t>
  </si>
  <si>
    <t>08 83903091</t>
  </si>
  <si>
    <t>08 83901765</t>
  </si>
  <si>
    <t>afparker@bigpond.com</t>
  </si>
  <si>
    <t>8:40 pm</t>
  </si>
  <si>
    <t>4 Ways Pty Ltd, Po Box 916,  ,</t>
  </si>
  <si>
    <t>24-Apr-2010</t>
  </si>
  <si>
    <t>5:10 pm</t>
  </si>
  <si>
    <t xml:space="preserve">78 </t>
  </si>
  <si>
    <t>Woolworths Qld</t>
  </si>
  <si>
    <t>cannizzaro@senet.com.au</t>
  </si>
  <si>
    <t>Country Crisp</t>
  </si>
  <si>
    <t>Store 39 Diagonal Rd</t>
  </si>
  <si>
    <t>08 83494234</t>
  </si>
  <si>
    <t>admin@flavells.com.au</t>
  </si>
  <si>
    <t>Citrus</t>
  </si>
  <si>
    <t>KCA796</t>
  </si>
  <si>
    <t>9:49 pm</t>
  </si>
  <si>
    <t>A.G.GIBSON</t>
  </si>
  <si>
    <t>Kevin Cross</t>
  </si>
  <si>
    <t>05-Dec-2011</t>
  </si>
  <si>
    <t>Stens group</t>
  </si>
  <si>
    <t>A.G.Gibson</t>
  </si>
  <si>
    <t>ashtrac@bigpond.net.au</t>
  </si>
  <si>
    <t>Not Applicable</t>
  </si>
  <si>
    <t>cobbledickbros@bigpond.com.au</t>
  </si>
  <si>
    <t>Store 38, Apml,, Diagonal Road</t>
  </si>
  <si>
    <t>08 8260 1755</t>
  </si>
  <si>
    <t>08 8260 1555</t>
  </si>
  <si>
    <t>raff@zizzo.info</t>
  </si>
  <si>
    <t>Zzz Alesandro Zizzo</t>
  </si>
  <si>
    <t>Store 37 Apml Diagonal Road</t>
  </si>
  <si>
    <t>08 8260 1747</t>
  </si>
  <si>
    <t>08 8260 1247</t>
  </si>
  <si>
    <t>gracemerenda@iprimus.com.au</t>
  </si>
  <si>
    <t>Jammaltrading@optusnet.com.au</t>
  </si>
  <si>
    <t>PALMABros@bigpond.com</t>
  </si>
  <si>
    <t>27 Silks Road</t>
  </si>
  <si>
    <t>08 8337 8138</t>
  </si>
  <si>
    <t>08 8337 1190</t>
  </si>
  <si>
    <t>admin@fruitorama.com.au</t>
  </si>
  <si>
    <t>Store E51, Adelaide Produce Market, Diagonal Road</t>
  </si>
  <si>
    <t>08 8349 6642</t>
  </si>
  <si>
    <t>08 8349 6524</t>
  </si>
  <si>
    <t>adelaide@exofarms.com.au</t>
  </si>
  <si>
    <t>Dr Ian Dry</t>
  </si>
  <si>
    <t>Po Box 350</t>
  </si>
  <si>
    <t>08 8303 8632</t>
  </si>
  <si>
    <t>08 8303 8601</t>
  </si>
  <si>
    <t>ian.dry@csiro.au</t>
  </si>
  <si>
    <t>joe@choicefruitandveg.com.au</t>
  </si>
  <si>
    <t>nrusso7@bigpond.com</t>
  </si>
  <si>
    <t>joe@scalzi.com.au</t>
  </si>
  <si>
    <t>State Herbarium Of South Australia</t>
  </si>
  <si>
    <t>P/O Box 2732</t>
  </si>
  <si>
    <t>8222 9392</t>
  </si>
  <si>
    <t>8222 9456</t>
  </si>
  <si>
    <t>vonow.helen@saugov.sa.gov.au</t>
  </si>
  <si>
    <t>City Fruit &amp; Vegetable Supply</t>
  </si>
  <si>
    <t>Building M, Apml, Diagonal Road</t>
  </si>
  <si>
    <t>08 8262 3737</t>
  </si>
  <si>
    <t>08 8262 6069</t>
  </si>
  <si>
    <t>sales@cityfruit.com.au</t>
  </si>
  <si>
    <t>William Allen, Donato Ruggerio &amp; Kathy Ruggerio</t>
  </si>
  <si>
    <t>Store 17, Apml, Diagonal Road</t>
  </si>
  <si>
    <t>08 8349 4895</t>
  </si>
  <si>
    <t>08 8349 4896</t>
  </si>
  <si>
    <t>woodie@wildsalad.com</t>
  </si>
  <si>
    <t>9:04 pm</t>
  </si>
  <si>
    <t>Bache Bros / The House of Bache, Stores 6 &amp; 7, Adelaide Produce Markets, Pooraka SA, 5095</t>
  </si>
  <si>
    <t>Andrew Mathews</t>
  </si>
  <si>
    <t>24-Nov-2010</t>
  </si>
  <si>
    <t>5:34 pm</t>
  </si>
  <si>
    <t>64</t>
  </si>
  <si>
    <t>Quality Fruits - Rocklea</t>
  </si>
  <si>
    <t>Apolusi Pty. Ltd.</t>
  </si>
  <si>
    <t>20 Matheson Avenue</t>
  </si>
  <si>
    <t>85578877</t>
  </si>
  <si>
    <t>WX83AR</t>
  </si>
  <si>
    <t>22-Nov-2012</t>
  </si>
  <si>
    <t>160</t>
  </si>
  <si>
    <t>plants@airnet.com.au</t>
  </si>
  <si>
    <t>Mitolo Group Pty. Ltd.</t>
  </si>
  <si>
    <t>Po Box 520</t>
  </si>
  <si>
    <t>08 8282 9000</t>
  </si>
  <si>
    <t>8 282 9029</t>
  </si>
  <si>
    <t>petermisopapas@mitologroup.com.au</t>
  </si>
  <si>
    <t xml:space="preserve"> D A Stockton &amp; L Stockton</t>
  </si>
  <si>
    <t>1 Phillips Street</t>
  </si>
  <si>
    <t>08 8355 4041</t>
  </si>
  <si>
    <t>08 8353 0201</t>
  </si>
  <si>
    <t>Tony Zeller</t>
  </si>
  <si>
    <t>Goomburra  QLD</t>
  </si>
  <si>
    <t>Trees</t>
  </si>
  <si>
    <t>3:03 am</t>
  </si>
  <si>
    <t>These look like returns!</t>
  </si>
  <si>
    <t>05-Mar-2010</t>
  </si>
  <si>
    <t>11:33 pm</t>
  </si>
  <si>
    <t>168</t>
  </si>
  <si>
    <t>Woolworths - Larapinta QLD</t>
  </si>
  <si>
    <t>MCN - SA</t>
  </si>
  <si>
    <t>OV07JD</t>
  </si>
  <si>
    <t>12:19 pm</t>
  </si>
  <si>
    <t>Military Road West Beach. Brad Happer 0438895674</t>
  </si>
  <si>
    <t>Enclosed 3 pages</t>
  </si>
  <si>
    <t>Ray Cotton</t>
  </si>
  <si>
    <t>21-Jan-2010</t>
  </si>
  <si>
    <t>8:48 am</t>
  </si>
  <si>
    <t>17</t>
  </si>
  <si>
    <t>Bottle Tree Plantation  TOOWOOMBA QLD 4350</t>
  </si>
  <si>
    <t xml:space="preserve">BUNGALOWS SECTION west beach </t>
  </si>
  <si>
    <t>dstockton@bigpond.com</t>
  </si>
  <si>
    <t>admin@zerella.com.au</t>
  </si>
  <si>
    <t>G Trimboli &amp; Sons Pty Ltd</t>
  </si>
  <si>
    <t>Po Box 34</t>
  </si>
  <si>
    <t>08 8380 9123</t>
  </si>
  <si>
    <t>08 8380 9871</t>
  </si>
  <si>
    <t>gtsfarms@bigpind.com</t>
  </si>
  <si>
    <t>Common Other Reasons</t>
  </si>
  <si>
    <t>Common Further Directions</t>
  </si>
  <si>
    <t>Craig Strong</t>
  </si>
  <si>
    <t>Location</t>
  </si>
  <si>
    <t>Roadblocks</t>
  </si>
  <si>
    <t>Mushrooms</t>
  </si>
  <si>
    <t>20ft Cont.</t>
  </si>
  <si>
    <t>40ft Cont.</t>
  </si>
  <si>
    <t>Tobacco Plants</t>
  </si>
  <si>
    <t>Truss Tomatoes</t>
  </si>
  <si>
    <t>Vine Ripe Tomatoes</t>
  </si>
  <si>
    <t>Vineyard Soil</t>
  </si>
  <si>
    <t>Tahitian Limes</t>
  </si>
  <si>
    <t>Tangerines</t>
  </si>
  <si>
    <t>Spring Onions</t>
  </si>
  <si>
    <t>Olives</t>
  </si>
  <si>
    <t>Olive Plants</t>
  </si>
  <si>
    <t>Manifest does not match Certificate</t>
  </si>
  <si>
    <t>Consignment note does not match Certificate</t>
  </si>
  <si>
    <t>Go Directly to Destination</t>
  </si>
  <si>
    <t>Not to be unloaded in SA</t>
  </si>
  <si>
    <t>Proceed Directely to Importer</t>
  </si>
  <si>
    <t>Shallots</t>
  </si>
  <si>
    <t>Road</t>
  </si>
  <si>
    <t>Luciano Marampon</t>
  </si>
  <si>
    <t>WX83RA</t>
  </si>
  <si>
    <t>5:42 pm</t>
  </si>
  <si>
    <t>returns</t>
  </si>
  <si>
    <t>peter</t>
  </si>
  <si>
    <t>2:12 pm</t>
  </si>
  <si>
    <t>W.w qld</t>
  </si>
  <si>
    <t>60</t>
  </si>
  <si>
    <t>6:18 pm</t>
  </si>
  <si>
    <t>David Gill</t>
  </si>
  <si>
    <t>66</t>
  </si>
  <si>
    <t>Red onions</t>
  </si>
  <si>
    <t>SX57DJ</t>
  </si>
  <si>
    <t>0600hrs</t>
  </si>
  <si>
    <t>collins TPT  247 CORMACK ROAD  WINGFIELD</t>
  </si>
  <si>
    <t>PAT WEBB</t>
  </si>
  <si>
    <t>27-Nov-2009</t>
  </si>
  <si>
    <t>12.40AM</t>
  </si>
  <si>
    <t>1188</t>
  </si>
  <si>
    <t>Kallium pty ltd ARATULA  QLD 4309</t>
  </si>
  <si>
    <t>Collins tpt 247 cormack rd wingfield</t>
  </si>
  <si>
    <t>PLANT HEALTH OPERATIONS</t>
  </si>
  <si>
    <t>Address</t>
  </si>
  <si>
    <t>SX55ED</t>
  </si>
  <si>
    <t>LaManna Bananas (Adelaide) Pty Ltd, Store 31, Adelaide Produce Markets, Pooraka SA, 5095</t>
  </si>
  <si>
    <t>SX79EH</t>
  </si>
  <si>
    <t>5:49 pm</t>
  </si>
  <si>
    <t>Jammal Produce, Store 2, Adelaide Produce Markets, Pooraka SA, 5095</t>
  </si>
  <si>
    <t>David coe</t>
  </si>
  <si>
    <t>13-Mar-2011</t>
  </si>
  <si>
    <t>2:18 pm</t>
  </si>
  <si>
    <t>104</t>
  </si>
  <si>
    <t>Mareny &amp; son</t>
  </si>
  <si>
    <t>ST61BJ</t>
  </si>
  <si>
    <t>6:05 pm</t>
  </si>
  <si>
    <t>Ray</t>
  </si>
  <si>
    <t>03-Sep-2011</t>
  </si>
  <si>
    <t>2:35 pm</t>
  </si>
  <si>
    <t>576</t>
  </si>
  <si>
    <t>Lamana Brisbane</t>
  </si>
  <si>
    <t>SX55EE</t>
  </si>
  <si>
    <t>3:25 pm</t>
  </si>
  <si>
    <t>Stam Fruit Supply, Stores 44 &amp; 45, Adelaide Produce Markets, Pooraka SA, 5095</t>
  </si>
  <si>
    <t>20-May-2012</t>
  </si>
  <si>
    <t>11:53 am</t>
  </si>
  <si>
    <t>1152</t>
  </si>
  <si>
    <t>6:01 pm</t>
  </si>
  <si>
    <t>POORAKA  MARKETS</t>
  </si>
  <si>
    <t>DAVE  GILL</t>
  </si>
  <si>
    <t>15-Dec-2009</t>
  </si>
  <si>
    <t>2:31 pm</t>
  </si>
  <si>
    <t>36</t>
  </si>
  <si>
    <t>BINS</t>
  </si>
  <si>
    <t>GaTTON  QLD</t>
  </si>
  <si>
    <t>PoORAKA MARKETS</t>
  </si>
  <si>
    <t>Issuing Quarantine Inspector</t>
  </si>
  <si>
    <t>Signature:</t>
  </si>
  <si>
    <t>Date:</t>
  </si>
  <si>
    <t>Time:</t>
  </si>
  <si>
    <t>Company</t>
  </si>
  <si>
    <t>Reg</t>
  </si>
  <si>
    <t>ETA</t>
  </si>
  <si>
    <t>Has Certificate</t>
  </si>
  <si>
    <t>Has Labelling</t>
  </si>
  <si>
    <t>Has Manifest</t>
  </si>
  <si>
    <t>Has other</t>
  </si>
  <si>
    <t>WX46AO</t>
  </si>
  <si>
    <t>10:13 am</t>
  </si>
  <si>
    <t>Lamanna Group (Adelaide), Store C31, Apml, Diagonal Road,  ,</t>
  </si>
  <si>
    <t>26-Dec-2012</t>
  </si>
  <si>
    <t>6:43 am</t>
  </si>
  <si>
    <t>680</t>
  </si>
  <si>
    <t>Pinata</t>
  </si>
  <si>
    <t>10:16 am</t>
  </si>
  <si>
    <t>6:46 am</t>
  </si>
  <si>
    <t>384</t>
  </si>
  <si>
    <t>Other Reasons</t>
  </si>
  <si>
    <t>Directions</t>
  </si>
  <si>
    <t>Driver Name</t>
  </si>
  <si>
    <t>Driver Date</t>
  </si>
  <si>
    <t>Driver Time</t>
  </si>
  <si>
    <t>Inspector Name</t>
  </si>
  <si>
    <t>Inspector Date</t>
  </si>
  <si>
    <t>Inspector Time</t>
  </si>
  <si>
    <t>Outcome</t>
  </si>
  <si>
    <t>Number</t>
  </si>
  <si>
    <t>Name:</t>
  </si>
  <si>
    <t>Released</t>
  </si>
  <si>
    <t>Redirected</t>
  </si>
  <si>
    <t>For Destruction</t>
  </si>
  <si>
    <t>9:13 pm</t>
  </si>
  <si>
    <t>wayne</t>
  </si>
  <si>
    <t>08-Jan-2012</t>
  </si>
  <si>
    <t>5:43 pm</t>
  </si>
  <si>
    <t>126</t>
  </si>
  <si>
    <t>Other Action</t>
  </si>
  <si>
    <t>Ceduna</t>
  </si>
  <si>
    <t>Oodlawirra</t>
  </si>
  <si>
    <t>Yamba</t>
  </si>
  <si>
    <t/>
  </si>
  <si>
    <t>Pinnaroo</t>
  </si>
  <si>
    <t>Neville Duncan</t>
  </si>
  <si>
    <t>Leon King</t>
  </si>
  <si>
    <t>Kevin Stone</t>
  </si>
  <si>
    <t>David Castle</t>
  </si>
  <si>
    <t>STAFF - Oodlawirra</t>
  </si>
  <si>
    <t>STAFF - Ceduna</t>
  </si>
  <si>
    <t>STAFF - Pinnaroo</t>
  </si>
  <si>
    <t>STAFF - Yamba</t>
  </si>
  <si>
    <t>Chris Stockham</t>
  </si>
  <si>
    <t>Bruce Baker</t>
  </si>
  <si>
    <t>Ellen Kennedy</t>
  </si>
  <si>
    <t>Larry Cavallo</t>
  </si>
  <si>
    <t xml:space="preserve">Brenton Bergman </t>
  </si>
  <si>
    <t>Brian Hoffrichter</t>
  </si>
  <si>
    <t>Dean Kelly</t>
  </si>
  <si>
    <t>Don Salmon</t>
  </si>
  <si>
    <t>Geoff Provis</t>
  </si>
  <si>
    <t>Glen Chandler</t>
  </si>
  <si>
    <t>Howard Irvine</t>
  </si>
  <si>
    <t>Jeff Nicholls</t>
  </si>
  <si>
    <t xml:space="preserve">Peter Lowe </t>
  </si>
  <si>
    <t>Jane Jonasson</t>
  </si>
  <si>
    <t>Jolanda Edwards</t>
  </si>
  <si>
    <t>Karalee Schroeder</t>
  </si>
  <si>
    <t>Karen Willersdorf</t>
  </si>
  <si>
    <t xml:space="preserve">Rosalie Donovan </t>
  </si>
  <si>
    <t>Andrew Smith</t>
  </si>
  <si>
    <t>Ben Milton-Hine</t>
  </si>
  <si>
    <t>Ben Turko</t>
  </si>
  <si>
    <t>Bill Brewer</t>
  </si>
  <si>
    <t>David Cox</t>
  </si>
  <si>
    <t>David Hall</t>
  </si>
  <si>
    <t>David Heaven</t>
  </si>
  <si>
    <t>David McDonald</t>
  </si>
  <si>
    <t xml:space="preserve">Garry Fundak </t>
  </si>
  <si>
    <t>Gary Cox</t>
  </si>
  <si>
    <t>Geoff Raven</t>
  </si>
  <si>
    <t>Graham Patching</t>
  </si>
  <si>
    <t>Ian Campbell</t>
  </si>
  <si>
    <t>John Callaghan</t>
  </si>
  <si>
    <t>Kanksha Drews</t>
  </si>
  <si>
    <t>Lib Colagiovanni</t>
  </si>
  <si>
    <t>Mark Parsons</t>
  </si>
  <si>
    <t>Peter Morrison</t>
  </si>
  <si>
    <t>Philip Applebee</t>
  </si>
  <si>
    <t>Russell Elliott</t>
  </si>
  <si>
    <t>Wayne Marshall</t>
  </si>
  <si>
    <t>Ian Thelning</t>
  </si>
  <si>
    <t xml:space="preserve">Luciano Marampon </t>
  </si>
  <si>
    <t>Barry McDonald</t>
  </si>
  <si>
    <t>Bradley Gregurke</t>
  </si>
  <si>
    <t>Edwin Storngman</t>
  </si>
  <si>
    <t>Harold Polst</t>
  </si>
  <si>
    <t>Joe Coden</t>
  </si>
  <si>
    <t>Kevin Brown</t>
  </si>
  <si>
    <t>Kylie Higgs</t>
  </si>
  <si>
    <t>Richard Dolman</t>
  </si>
  <si>
    <t>Richard Schepel</t>
  </si>
  <si>
    <t>Rodney Carslake</t>
  </si>
  <si>
    <t>Ruth Wolter</t>
  </si>
  <si>
    <t>Steven Ivanovic</t>
  </si>
  <si>
    <t>Terrence Schier</t>
  </si>
  <si>
    <t>STAFF - Prospect</t>
  </si>
  <si>
    <t>Prospect</t>
  </si>
  <si>
    <t>ADDRESS</t>
  </si>
  <si>
    <t>PHONE</t>
  </si>
  <si>
    <t>FAX</t>
  </si>
  <si>
    <t>MOBILE</t>
  </si>
  <si>
    <t>EMAIL</t>
  </si>
  <si>
    <t>ORIGIN</t>
  </si>
  <si>
    <t>Acekel Refrigerated Transport</t>
  </si>
  <si>
    <t>(08) 8268 1727</t>
  </si>
  <si>
    <t>(08) 8244 9245</t>
  </si>
  <si>
    <t>SA</t>
  </si>
  <si>
    <t>AWH Pty Ltd</t>
  </si>
  <si>
    <t>(08) 8240 8400</t>
  </si>
  <si>
    <t>(08) 8240 0080</t>
  </si>
  <si>
    <t>Blenners Refrigerated Transport</t>
  </si>
  <si>
    <t>(07) 3278 3555</t>
  </si>
  <si>
    <t>(07) 3278 3588</t>
  </si>
  <si>
    <t>0418 456 865</t>
  </si>
  <si>
    <t>blennersbrisbane@bigpond.com</t>
  </si>
  <si>
    <t>10:25 pm</t>
  </si>
  <si>
    <t>harris Refrigerated Transport Dry Creek</t>
  </si>
  <si>
    <t>Peter Harrison</t>
  </si>
  <si>
    <t>6:55 pm</t>
  </si>
  <si>
    <t>Je tipper QLD  ROCKLEA</t>
  </si>
  <si>
    <t>Woolworths Limited  Gepps Cross</t>
  </si>
  <si>
    <t>Bob Fountain Transport Pty Ltd</t>
  </si>
  <si>
    <t>(08) 8254 5000</t>
  </si>
  <si>
    <t>1:16 am</t>
  </si>
  <si>
    <t>S Good</t>
  </si>
  <si>
    <t>26-Sep-2010</t>
  </si>
  <si>
    <t>9:46 pm</t>
  </si>
  <si>
    <t>840</t>
  </si>
  <si>
    <t>C.S.I</t>
  </si>
  <si>
    <t>Booth Transport Pty Ltd</t>
  </si>
  <si>
    <t>(08) 8444 8100</t>
  </si>
  <si>
    <t>Bordertown Haulage &amp; Trading</t>
  </si>
  <si>
    <t>154 South Avenue, Bordertown SA 5268</t>
  </si>
  <si>
    <t>(08) 8752 2866</t>
  </si>
  <si>
    <t>Brown's Citrus Transport</t>
  </si>
  <si>
    <t xml:space="preserve">37 Bridge St, Gayndah, QLD 4625 </t>
  </si>
  <si>
    <t>(07) 4161 2600</t>
  </si>
  <si>
    <t>(07) 4161 1386</t>
  </si>
  <si>
    <t>0413 712 600</t>
  </si>
  <si>
    <t>reg@brownscitrus.com.au</t>
  </si>
  <si>
    <t>Bull's Transport Pty Ltd</t>
  </si>
  <si>
    <t>(08) 8243 0018</t>
  </si>
  <si>
    <t>(08) 8268 4433</t>
  </si>
  <si>
    <t>(08) 8340 1311</t>
  </si>
  <si>
    <t>Cold Chain Logistics</t>
  </si>
  <si>
    <t>(08) 8343 3222</t>
  </si>
  <si>
    <t>Collins</t>
  </si>
  <si>
    <t>(08) 8347 0337</t>
  </si>
  <si>
    <t>Cordoma Bros</t>
  </si>
  <si>
    <t xml:space="preserve">Happy Valley Rd, Robinvale, VIC 3549 </t>
  </si>
  <si>
    <t>(03) 5026 4138</t>
  </si>
  <si>
    <t>0429 363 054</t>
  </si>
  <si>
    <t>packshed@bigpond.com.au</t>
  </si>
  <si>
    <t>Curran Transport</t>
  </si>
  <si>
    <t xml:space="preserve">Day's Transport Service Pty Ltd </t>
  </si>
  <si>
    <t>(02) 6959 3350</t>
  </si>
  <si>
    <t>(02) 6959 3315</t>
  </si>
  <si>
    <t>0427 593 302</t>
  </si>
  <si>
    <t>Info@daystransport.com.au</t>
  </si>
  <si>
    <t>Defina J A Transport</t>
  </si>
  <si>
    <t>(02) 9749 1666</t>
  </si>
  <si>
    <t>(02) 9749 1814</t>
  </si>
  <si>
    <t>Densway Transhipping Pty Ltd</t>
  </si>
  <si>
    <t>(07) 3278 2199</t>
  </si>
  <si>
    <t>Draffin Transport Pty Ltd</t>
  </si>
  <si>
    <t>9:01 pm</t>
  </si>
  <si>
    <t>Returns</t>
  </si>
  <si>
    <t>pooraka markets</t>
  </si>
  <si>
    <t>Graeme</t>
  </si>
  <si>
    <t>17-Nov-2009</t>
  </si>
  <si>
    <t>5:31 pm</t>
  </si>
  <si>
    <t>72</t>
  </si>
  <si>
    <t>Woolworths</t>
  </si>
  <si>
    <t>Mcm_- sa</t>
  </si>
  <si>
    <t>(03) 5344 7253</t>
  </si>
  <si>
    <t>(03) 5344 7428</t>
  </si>
  <si>
    <t>0408 508 948</t>
  </si>
  <si>
    <t>draffkhz@activ8.net.au</t>
  </si>
  <si>
    <t>(08) 8304 6000</t>
  </si>
  <si>
    <t>(08) 8304 6099</t>
  </si>
  <si>
    <t>Eubal Farms Transport Pty Ltd</t>
  </si>
  <si>
    <t>0419 542 526</t>
  </si>
  <si>
    <t>Fletchers Freighters Pty Ltd</t>
  </si>
  <si>
    <t>(08) 8260 8500</t>
  </si>
  <si>
    <t>(08) 8260 8599</t>
  </si>
  <si>
    <t>fletchers@fletchersfreighters.com.au</t>
  </si>
  <si>
    <t>Gamemover Transport Pty Ltd</t>
  </si>
  <si>
    <t>WX34A0</t>
  </si>
  <si>
    <t>11:47 pm</t>
  </si>
  <si>
    <t>10-Jan-2013</t>
  </si>
  <si>
    <t>8:17 pm</t>
  </si>
  <si>
    <t>2528</t>
  </si>
  <si>
    <t>Pinata Farms Wamuran</t>
  </si>
  <si>
    <t>(02) 6889 7329</t>
  </si>
  <si>
    <t>(02) 6889 5455</t>
  </si>
  <si>
    <t xml:space="preserve">Gasparini Refrigerated Transport Services </t>
  </si>
  <si>
    <t>(08) 8723 9189</t>
  </si>
  <si>
    <t>Gilbert's Transport Service Pty Ltd</t>
  </si>
  <si>
    <t xml:space="preserve">8-10 C.B. Fisher Drive, Cavan, SA 5094 </t>
  </si>
  <si>
    <t xml:space="preserve">(08) 8359 7000 </t>
  </si>
  <si>
    <t>GKR Transport</t>
  </si>
  <si>
    <t>(08) 8346 7488</t>
  </si>
  <si>
    <t>(08) 8346 7433</t>
  </si>
  <si>
    <t>0417 867488</t>
  </si>
  <si>
    <t xml:space="preserve">adelaide@gkrtransport.com.au </t>
  </si>
  <si>
    <t>GTS Freight</t>
  </si>
  <si>
    <t>(03) 5022 1999</t>
  </si>
  <si>
    <t>(03) 5022 1600</t>
  </si>
  <si>
    <t>Harris Refrigerated Transport</t>
  </si>
  <si>
    <t>(08) 8260 9999</t>
  </si>
  <si>
    <t>Hawkins Road Transport Pty Ltd</t>
  </si>
  <si>
    <t>(07) 3909 3309</t>
  </si>
  <si>
    <t>(07) 3895 1808</t>
  </si>
  <si>
    <t>info@hawkinstpt.com.au</t>
  </si>
  <si>
    <t>NV59AV</t>
  </si>
  <si>
    <t>a s ABOVE</t>
  </si>
  <si>
    <t>M BIRMINGHAM</t>
  </si>
  <si>
    <t>02-Sep-2012</t>
  </si>
  <si>
    <t>15</t>
  </si>
  <si>
    <t>L&amp;MG MERCORELLA</t>
  </si>
  <si>
    <t>Hi-Trans Express Pty Ltd</t>
  </si>
  <si>
    <t>(08) 8447 7777</t>
  </si>
  <si>
    <t>HPS</t>
  </si>
  <si>
    <t>(08) 8349 4788</t>
  </si>
  <si>
    <t xml:space="preserve">Intercoast Refrigerated Transport </t>
  </si>
  <si>
    <t>(02) 9325 6700</t>
  </si>
  <si>
    <t>(02) 9746 2434</t>
  </si>
  <si>
    <t>tony@Intercoastexpress.com.au</t>
  </si>
  <si>
    <t>J &amp; B Westbrook Refrigerated Transport</t>
  </si>
  <si>
    <t xml:space="preserve">2 Quandong Crt, Greenbank, QLD 4124 </t>
  </si>
  <si>
    <t>(07) 3200 1297</t>
  </si>
  <si>
    <t>J &amp; T Express</t>
  </si>
  <si>
    <t>(03) 5022 7311</t>
  </si>
  <si>
    <t>JAT Refrigerated Road Service</t>
  </si>
  <si>
    <t>(07) 4068 3783</t>
  </si>
  <si>
    <t>(07) 4068 3786</t>
  </si>
  <si>
    <t>0429 721 700</t>
  </si>
  <si>
    <t>JFB Transport</t>
  </si>
  <si>
    <t xml:space="preserve">(03) 5821 5439 </t>
  </si>
  <si>
    <t>8:29 pm</t>
  </si>
  <si>
    <t>M &amp; A Mercorella Pty Ltd, Po Box 27,  ,</t>
  </si>
  <si>
    <t>Dave Gill</t>
  </si>
  <si>
    <t>19-Dec-2009</t>
  </si>
  <si>
    <t>4:59 pm</t>
  </si>
  <si>
    <t>240</t>
  </si>
  <si>
    <t>20Kg</t>
  </si>
  <si>
    <t>Nolans - Gatton</t>
  </si>
  <si>
    <t>8:33 pm</t>
  </si>
  <si>
    <t>5:03 pm</t>
  </si>
  <si>
    <t>96</t>
  </si>
  <si>
    <t>10kg Bags</t>
  </si>
  <si>
    <t>8:36 pm</t>
  </si>
  <si>
    <t>5:06 pm</t>
  </si>
  <si>
    <t>4</t>
  </si>
  <si>
    <t>8:38 pm</t>
  </si>
  <si>
    <t>5:08 pm</t>
  </si>
  <si>
    <t>18</t>
  </si>
  <si>
    <t>K &amp; S Freighters Pty Ltd</t>
  </si>
  <si>
    <t>(08) 8444 8500</t>
  </si>
  <si>
    <t xml:space="preserve">Karoonda Freight Service </t>
  </si>
  <si>
    <t xml:space="preserve">(08) 8578 1181 </t>
  </si>
  <si>
    <t xml:space="preserve">(08) 8578 1189 </t>
  </si>
  <si>
    <t xml:space="preserve">0427 813 093 </t>
  </si>
  <si>
    <t xml:space="preserve">robert@karoondafreightservice.com.au </t>
  </si>
  <si>
    <t>Kelly's &amp; Young Trucking Co</t>
  </si>
  <si>
    <t xml:space="preserve">(03) 9311 0088  </t>
  </si>
  <si>
    <t xml:space="preserve">(03) 9311 0988 </t>
  </si>
  <si>
    <t>Kuchel</t>
  </si>
  <si>
    <t>(08) 8562 2177</t>
  </si>
  <si>
    <t>L &amp; M Pittari Transport Pty Ltd</t>
  </si>
  <si>
    <t>(02) 6968 5211</t>
  </si>
  <si>
    <t>0427 444 499</t>
  </si>
  <si>
    <t>Leslie Refrigerated Transport</t>
  </si>
  <si>
    <t>(03) 5026 4800</t>
  </si>
  <si>
    <t>0427 374 180</t>
  </si>
  <si>
    <t>Lindsay Transport</t>
  </si>
  <si>
    <t>(08) 8254 9445</t>
  </si>
  <si>
    <t>corporate@lindsayaustralia.com</t>
  </si>
  <si>
    <t>Linfox-FCL</t>
  </si>
  <si>
    <t>(08) 8359 1888</t>
  </si>
  <si>
    <t>(08) 8359 1899</t>
  </si>
  <si>
    <t>Lochert Bros Pty Ltd</t>
  </si>
  <si>
    <t>(08) 8541 0200</t>
  </si>
  <si>
    <t>(08) 8541 0205</t>
  </si>
  <si>
    <t>0419 216 477</t>
  </si>
  <si>
    <t xml:space="preserve">LRT ContractorsTransport Services </t>
  </si>
  <si>
    <t>(02) 6967 1636</t>
  </si>
  <si>
    <t>Mcalpine Freightlines</t>
  </si>
  <si>
    <t>(07) 3722 6133</t>
  </si>
  <si>
    <t>McEvoy Transport</t>
  </si>
  <si>
    <t>(08) 8241 5732</t>
  </si>
  <si>
    <t>(08) 8346 7835</t>
  </si>
  <si>
    <t>mcevoytransport@internode.on.net</t>
  </si>
  <si>
    <t>(03) 5021 4437</t>
  </si>
  <si>
    <t>12:20 am</t>
  </si>
  <si>
    <t>Adelaide Markets</t>
  </si>
  <si>
    <t>Ben Heffernan</t>
  </si>
  <si>
    <t>05-May-2010</t>
  </si>
  <si>
    <t>QV08KT</t>
  </si>
  <si>
    <t>7:08 pm</t>
  </si>
  <si>
    <t>Adelaide</t>
  </si>
  <si>
    <t>Andrew Lewis</t>
  </si>
  <si>
    <t>26-Nov-2010</t>
  </si>
  <si>
    <t>3:38 pm</t>
  </si>
  <si>
    <t>Costa Farms  - Rocklea</t>
  </si>
  <si>
    <t>Costa Farms - Pooraka, Adelaide</t>
  </si>
  <si>
    <t>8:49 pm</t>
  </si>
  <si>
    <t>48</t>
  </si>
  <si>
    <t>?</t>
  </si>
  <si>
    <t>J E Tipper - Rocklea</t>
  </si>
  <si>
    <t>0418 852 697</t>
  </si>
  <si>
    <t xml:space="preserve">Mountain Industries </t>
  </si>
  <si>
    <t>(02) 4923 4555</t>
  </si>
  <si>
    <t xml:space="preserve">(02) 4923 4556 </t>
  </si>
  <si>
    <t>Nolans Transport</t>
  </si>
  <si>
    <t>(07) 5466 2866</t>
  </si>
  <si>
    <t>SX50EC</t>
  </si>
  <si>
    <t>6:15 pm</t>
  </si>
  <si>
    <t>19-Oct-2011</t>
  </si>
  <si>
    <t>Freashways</t>
  </si>
  <si>
    <t>Limes and Lemons</t>
  </si>
  <si>
    <t>18-Jan-2012</t>
  </si>
  <si>
    <t>4:10 pm</t>
  </si>
  <si>
    <t>208</t>
  </si>
  <si>
    <t>Blenners Qld</t>
  </si>
  <si>
    <t>(07) 5466 2859</t>
  </si>
  <si>
    <t>admin@nolanstransport.com.au</t>
  </si>
  <si>
    <t>Northern Territory Freight Service Pty Ltd</t>
  </si>
  <si>
    <t>(08) 8240 1400</t>
  </si>
  <si>
    <t>(08) 8240 1438</t>
  </si>
  <si>
    <t>enquiries@ntfs.com.au</t>
  </si>
  <si>
    <t>Old No 7 Operations</t>
  </si>
  <si>
    <t>(08) 8520 3555</t>
  </si>
  <si>
    <t>Pickering Transport Group</t>
  </si>
  <si>
    <t>(08) 8346 5516</t>
  </si>
  <si>
    <t>(08) 8346 6609</t>
  </si>
  <si>
    <t>enquiry@ptg.com.au</t>
  </si>
  <si>
    <t>Piscioneri Transport Services</t>
  </si>
  <si>
    <t>(03) 5025 7114</t>
  </si>
  <si>
    <t>0419 558 479</t>
  </si>
  <si>
    <t>cossy@pts-transport.com.au</t>
  </si>
  <si>
    <t>Presna Transport Services</t>
  </si>
  <si>
    <t>(02) 6382 5222</t>
  </si>
  <si>
    <t>(02) 6382 5221</t>
  </si>
  <si>
    <t>Prime Haulage Pty Ltd</t>
  </si>
  <si>
    <t>(07) 3276 7177</t>
  </si>
  <si>
    <t xml:space="preserve">R T &amp; B F Turner Transport Services </t>
  </si>
  <si>
    <t>(07) 3216 7533</t>
  </si>
  <si>
    <t>Rand Transport</t>
  </si>
  <si>
    <t>(08) 8362 0399</t>
  </si>
  <si>
    <t>(08) 8349 8351</t>
  </si>
  <si>
    <t>customerserviceadelaide@rand.com.au</t>
  </si>
  <si>
    <t>S &amp; K Transport Services Pty Ltd</t>
  </si>
  <si>
    <t>(07) 4775 6677</t>
  </si>
  <si>
    <t xml:space="preserve">SBA Transport </t>
  </si>
  <si>
    <t xml:space="preserve">(02) 6033 0122 </t>
  </si>
  <si>
    <t>(02) 6033 0144</t>
  </si>
  <si>
    <t>Schiller Transport</t>
  </si>
  <si>
    <t>(08) 8581 1075</t>
  </si>
  <si>
    <t>(08) 85811005</t>
  </si>
  <si>
    <t>0412 955 120</t>
  </si>
  <si>
    <t>Scotts Refrigerated Freightways Pty Ltd</t>
  </si>
  <si>
    <t>(08) 8359 5677</t>
  </si>
  <si>
    <t>Sunraysia Riverland Refrigerated Services</t>
  </si>
  <si>
    <t>(03) 5025 6492</t>
  </si>
  <si>
    <t>Swires Cold Stores</t>
  </si>
  <si>
    <t>(08) 8262 7424</t>
  </si>
  <si>
    <t>T L Brown Transport Pty Ltd</t>
  </si>
  <si>
    <t>(07) 5426 2173</t>
  </si>
  <si>
    <t xml:space="preserve">browntsp@bigpond.net.au </t>
  </si>
  <si>
    <t>SX61EG</t>
  </si>
  <si>
    <t>8:14 pm</t>
  </si>
  <si>
    <t>Peter Estreich</t>
  </si>
  <si>
    <t>08-Nov-2009</t>
  </si>
  <si>
    <t>4:44 pm</t>
  </si>
  <si>
    <t>Emerald refrigerated haulage</t>
  </si>
  <si>
    <t>po box 72 brisbane markets qld 4106</t>
  </si>
  <si>
    <t>14ERH</t>
  </si>
  <si>
    <t>7:16 am</t>
  </si>
  <si>
    <t>R Benetti</t>
  </si>
  <si>
    <t>06-Dec-2009</t>
  </si>
  <si>
    <t>3:46 am</t>
  </si>
  <si>
    <t xml:space="preserve">50 </t>
  </si>
  <si>
    <t>G.j c.l Luck  don view m/s 1051 Wowan QLD 4702</t>
  </si>
  <si>
    <t>6</t>
  </si>
  <si>
    <t>Pace Farming - Rollingstone</t>
  </si>
  <si>
    <t>TBR Bulk</t>
  </si>
  <si>
    <t>0427 609 918</t>
  </si>
  <si>
    <t>Toll Refrigerated</t>
  </si>
  <si>
    <t>(08) 8368 3813</t>
  </si>
  <si>
    <t>SX12EK</t>
  </si>
  <si>
    <t>5:15 pm</t>
  </si>
  <si>
    <t>graeme</t>
  </si>
  <si>
    <t>15-Sep-2011</t>
  </si>
  <si>
    <t>1:45 pm</t>
  </si>
  <si>
    <t>276</t>
  </si>
  <si>
    <t>TR Male Transport</t>
  </si>
  <si>
    <t>(07) 5445 9099</t>
  </si>
  <si>
    <t xml:space="preserve">Turner's Refrigerated Transport Services </t>
  </si>
  <si>
    <t>(08) 8569 2144</t>
  </si>
  <si>
    <t>0418 848 736</t>
  </si>
  <si>
    <t>Young &amp; Land Transport</t>
  </si>
  <si>
    <t>(08) 8280 5388</t>
  </si>
  <si>
    <t>(08) 8280 5399</t>
  </si>
  <si>
    <t>BUSINESS</t>
  </si>
  <si>
    <t>ADDRESS 1</t>
  </si>
  <si>
    <t>ADDRESS 2</t>
  </si>
  <si>
    <t>8:28 pm</t>
  </si>
  <si>
    <t>clayton burrows</t>
  </si>
  <si>
    <t>04-May-2011</t>
  </si>
  <si>
    <t>4:58 pm</t>
  </si>
  <si>
    <t>202</t>
  </si>
  <si>
    <t>Brisbane mrk</t>
  </si>
  <si>
    <t>78 Parkwood Dr, Bangor, NSW 2234</t>
  </si>
  <si>
    <t>78 Parkwood Dr</t>
  </si>
  <si>
    <t>Bangor, NSW 2234</t>
  </si>
  <si>
    <t>NSW</t>
  </si>
  <si>
    <t>PO Box 144, Gatton QLD 4343</t>
  </si>
  <si>
    <t>PO Box 144</t>
  </si>
  <si>
    <t>Gatton QLD 4343</t>
  </si>
  <si>
    <t>QLD</t>
  </si>
  <si>
    <t>PO Box CP 1988, Mildura VIC 3501</t>
  </si>
  <si>
    <t>Cherry  tomatoes</t>
  </si>
  <si>
    <t>1:11 am</t>
  </si>
  <si>
    <t>pooraka market</t>
  </si>
  <si>
    <t>kevin robinson</t>
  </si>
  <si>
    <t>06-Jan-2010</t>
  </si>
  <si>
    <t>9:41 pm</t>
  </si>
  <si>
    <t>Brisbane depot qld</t>
  </si>
  <si>
    <t>SX59EB</t>
  </si>
  <si>
    <t>4:42 pm</t>
  </si>
  <si>
    <t>pooraka mrk</t>
  </si>
  <si>
    <t>Barry</t>
  </si>
  <si>
    <t>07-Apr-2010</t>
  </si>
  <si>
    <t>1:12 pm</t>
  </si>
  <si>
    <t>Carter/spencer             returns</t>
  </si>
  <si>
    <t>Mondello</t>
  </si>
  <si>
    <t>Wool   worths  geppscross</t>
  </si>
  <si>
    <t>PO Box CP 1988</t>
  </si>
  <si>
    <t>Mildura VIC 3501</t>
  </si>
  <si>
    <t>VIC</t>
  </si>
  <si>
    <t>Mildura Refrigerated Transport Service</t>
  </si>
  <si>
    <t>7:19 pm</t>
  </si>
  <si>
    <t>04-Oct-2012</t>
  </si>
  <si>
    <t>3:49 pm</t>
  </si>
  <si>
    <t>660</t>
  </si>
  <si>
    <t>Harris Transport</t>
  </si>
  <si>
    <t>PO Box CP1461, Mildura VIC 3501</t>
  </si>
  <si>
    <t>SX47EK</t>
  </si>
  <si>
    <t>14-Dec-2011</t>
  </si>
  <si>
    <t>63</t>
  </si>
  <si>
    <t>PO Box CP1461</t>
  </si>
  <si>
    <t xml:space="preserve">564 - 580 Benetook Ave, Mildura VIC 3500 </t>
  </si>
  <si>
    <t>564 - 580 Benetook Ave</t>
  </si>
  <si>
    <t xml:space="preserve">Mildura VIC 3500 </t>
  </si>
  <si>
    <t xml:space="preserve">80 Strezlecki Ave, Sunshine  VIC 3020 </t>
  </si>
  <si>
    <t>80 Strezlecki Ave</t>
  </si>
  <si>
    <t xml:space="preserve">Sunshine  VIC 3020 </t>
  </si>
  <si>
    <t>PO Box 751, Young NSW 2594</t>
  </si>
  <si>
    <t>PO Box 751</t>
  </si>
  <si>
    <t>Young NSW 2594</t>
  </si>
  <si>
    <t>246 Crete Rd, Robinvale VIC 3549</t>
  </si>
  <si>
    <t>246 Crete Rd</t>
  </si>
  <si>
    <t>Robinvale VIC 3549</t>
  </si>
  <si>
    <t>Happy Valley Rd</t>
  </si>
  <si>
    <t xml:space="preserve">Robinvale, VIC 3549 </t>
  </si>
  <si>
    <t>3/ 34 Blakey St, Garbutt QLD 4814</t>
  </si>
  <si>
    <t>3/ 34 Blakey St</t>
  </si>
  <si>
    <t>Garbutt QLD 4814</t>
  </si>
  <si>
    <t>PO Box 1456, Mildura VIC, 3502</t>
  </si>
  <si>
    <t>PO Box 1456</t>
  </si>
  <si>
    <t>Mildura VIC, 3502</t>
  </si>
  <si>
    <t>Wakefield</t>
  </si>
  <si>
    <t>8:15 pm</t>
  </si>
  <si>
    <t>paul millard</t>
  </si>
  <si>
    <t>24-Jan-2010</t>
  </si>
  <si>
    <t>4:38 pm</t>
  </si>
  <si>
    <t>Csi brisbane 38 wallker st</t>
  </si>
  <si>
    <t xml:space="preserve">Cnr Game Street &amp; Main Avenue, Merebin, VIC 3505  </t>
  </si>
  <si>
    <t>Cnr Game Street &amp; Main Avenue</t>
  </si>
  <si>
    <t xml:space="preserve">Merebin, VIC 3505  </t>
  </si>
  <si>
    <t xml:space="preserve">(03) 5025 2443 </t>
  </si>
  <si>
    <t>SX48EK</t>
  </si>
  <si>
    <t>12:58 am</t>
  </si>
  <si>
    <t>darren</t>
  </si>
  <si>
    <t>27-Mar-2013</t>
  </si>
  <si>
    <t>9:28 pm</t>
  </si>
  <si>
    <t>Rockley</t>
  </si>
  <si>
    <t>(03) 5025 2466</t>
  </si>
  <si>
    <t xml:space="preserve">info@wakefields.com.au </t>
  </si>
  <si>
    <t>M &amp; L Bozzi</t>
  </si>
  <si>
    <t>748 Walnut Ave, Mildura VIC 3500</t>
  </si>
  <si>
    <t>748 Walnut Ave</t>
  </si>
  <si>
    <t>Mildura VIC 3500</t>
  </si>
  <si>
    <t>(03) 5023 8097</t>
  </si>
  <si>
    <t>Giofrelle Refrigerated Transport</t>
  </si>
  <si>
    <t xml:space="preserve">Hocking Rd, Robinvale, VIC 3549 </t>
  </si>
  <si>
    <t>Hocking Rd</t>
  </si>
  <si>
    <t xml:space="preserve">(03) 5024 5002 </t>
  </si>
  <si>
    <t>57 Meadow Ave, Coopers Plains QLD 4108</t>
  </si>
  <si>
    <t>57 Meadow Ave</t>
  </si>
  <si>
    <t>Coopers Plains QLD 4108</t>
  </si>
  <si>
    <t>Locked Bag 3, Tulley QLD 4854</t>
  </si>
  <si>
    <t>Locked Bag 3</t>
  </si>
  <si>
    <t>Tulley QLD 4854</t>
  </si>
  <si>
    <t>Turner's Transport</t>
  </si>
  <si>
    <t>28 Palmwoods Montville Rd, Palmwoods QLD 4555</t>
  </si>
  <si>
    <t>28 Palmwoods Montville Rd</t>
  </si>
  <si>
    <t>Palmwoods QLD 4555</t>
  </si>
  <si>
    <t>(07) 5445 9698</t>
  </si>
  <si>
    <t>turnertpt@westnet.com.au</t>
  </si>
  <si>
    <t>Brisbane Markets M Block, Sherwood Road, Rocklea QLD 4106</t>
  </si>
  <si>
    <t>Brisbane Markets M Block, Sherwood Road</t>
  </si>
  <si>
    <t>Rocklea QLD 4106</t>
  </si>
  <si>
    <t>1 -2 Meilman Rd, Euston NSW 2737</t>
  </si>
  <si>
    <t>1 -2 Meilman Rd</t>
  </si>
  <si>
    <t>Euston NSW 2737</t>
  </si>
  <si>
    <t>2 Quandong Crt</t>
  </si>
  <si>
    <t>4:35 pm</t>
  </si>
  <si>
    <t>GT Produce, Store 23, Adelaide Produce Markets, Pooraka SA, 5095</t>
  </si>
  <si>
    <t>barry</t>
  </si>
  <si>
    <t>28-Oct-2009</t>
  </si>
  <si>
    <t>1:05 pm</t>
  </si>
  <si>
    <t>112</t>
  </si>
  <si>
    <t>Gollagher bros</t>
  </si>
  <si>
    <t>4:41 pm</t>
  </si>
  <si>
    <t>Fruitorama, Store 30, Adelaide Produce Markets, Pooraka SA, 5095</t>
  </si>
  <si>
    <t>1:11 pm</t>
  </si>
  <si>
    <t>128</t>
  </si>
  <si>
    <t>Lockyer produce</t>
  </si>
  <si>
    <t>4:45 pm</t>
  </si>
  <si>
    <t>1:15 pm</t>
  </si>
  <si>
    <t>600</t>
  </si>
  <si>
    <t>S A potatoe company</t>
  </si>
  <si>
    <t xml:space="preserve">Greenbank, QLD 4124 </t>
  </si>
  <si>
    <t>2730 Forest Hill Fernvale Rd, Lowood QLD 4311</t>
  </si>
  <si>
    <t>2730 Forest Hill Fernvale Rd</t>
  </si>
  <si>
    <t>Lowood QLD 4311</t>
  </si>
  <si>
    <t>16 Charles St, Hillston NSW 2675</t>
  </si>
  <si>
    <t>16 Charles St</t>
  </si>
  <si>
    <t>Hillston NSW 2675</t>
  </si>
  <si>
    <t>Unit 4/44 Boorea,  Lidcombe, NSW 2141</t>
  </si>
  <si>
    <t>Unit 4/44 Boorea</t>
  </si>
  <si>
    <t xml:space="preserve"> Lidcombe, NSW 2141</t>
  </si>
  <si>
    <t>28 Palmwoods-Montville Rd, Palmwoods QLD, 4555</t>
  </si>
  <si>
    <t>28 Palmwoods-Montville Rd</t>
  </si>
  <si>
    <t>Palmwoods QLD, 4555</t>
  </si>
  <si>
    <t>PO Box 368, Corowa NSW 2646</t>
  </si>
  <si>
    <t>PO Box 368</t>
  </si>
  <si>
    <t>Corowa NSW 2646</t>
  </si>
  <si>
    <t>25 Ninth St, Mildura VIC 3500</t>
  </si>
  <si>
    <t>25 Ninth St</t>
  </si>
  <si>
    <t>Narromine Rd, Narromine NSW 2821</t>
  </si>
  <si>
    <t>Narromine Rd</t>
  </si>
  <si>
    <t>Narromine NSW 2821</t>
  </si>
  <si>
    <t>PO Box 249, Wynnum Central, QLD 4178</t>
  </si>
  <si>
    <t>PO Box 249</t>
  </si>
  <si>
    <t>Wynnum Central, QLD 4178</t>
  </si>
  <si>
    <t>2421 Ipswich Rd (Cnr Douglas St), Rocklea, QLD 4106</t>
  </si>
  <si>
    <t>2421 Ipswich Rd (Cnr Douglas St)</t>
  </si>
  <si>
    <t>Rocklea, QLD 4106</t>
  </si>
  <si>
    <t>PO Box 228, Narrandera NSW 2700</t>
  </si>
  <si>
    <t>PO Box 228</t>
  </si>
  <si>
    <t>Narrandera NSW 2700</t>
  </si>
  <si>
    <t>37 Bridge St</t>
  </si>
  <si>
    <t xml:space="preserve">Gayndah, QLD 4625 </t>
  </si>
  <si>
    <t xml:space="preserve">PO Box 682 Castletown, Hyde Park 4812 </t>
  </si>
  <si>
    <t>13NOL</t>
  </si>
  <si>
    <t>12:16 am</t>
  </si>
  <si>
    <t>26-Jan-2012</t>
  </si>
  <si>
    <t>8:46 pm</t>
  </si>
  <si>
    <t>Perth</t>
  </si>
  <si>
    <t>12:22 am</t>
  </si>
  <si>
    <t>8:52 pm</t>
  </si>
  <si>
    <t>Woolworthes primery</t>
  </si>
  <si>
    <t xml:space="preserve">2 </t>
  </si>
  <si>
    <t>PO Box 682 Castletown</t>
  </si>
  <si>
    <t xml:space="preserve">Hyde Park 4812 </t>
  </si>
  <si>
    <t xml:space="preserve">70 Huttons Lane, Grahamvale, VIC 3631 </t>
  </si>
  <si>
    <t>70 Huttons Lane</t>
  </si>
  <si>
    <t xml:space="preserve">Grahamvale, VIC 3631 </t>
  </si>
  <si>
    <t>Unit 4 / 9 Stockwell Place, Archerfield Qld 4108</t>
  </si>
  <si>
    <t>Unit 4 / 9 Stockwell Place</t>
  </si>
  <si>
    <t>Archerfield Qld 4108</t>
  </si>
  <si>
    <t>6:43 pm</t>
  </si>
  <si>
    <t>adel</t>
  </si>
  <si>
    <t>16-Nov-2010</t>
  </si>
  <si>
    <t>3:12 pm</t>
  </si>
  <si>
    <t>58</t>
  </si>
  <si>
    <t>qld</t>
  </si>
  <si>
    <t>West aust</t>
  </si>
  <si>
    <t>LDJ Distribution Pty Ltd</t>
  </si>
  <si>
    <t>49 John St, Oakleigh VIC, 3166</t>
  </si>
  <si>
    <t>49 John St</t>
  </si>
  <si>
    <t>Oakleigh VIC, 3166</t>
  </si>
  <si>
    <t>(03) 9569 6900</t>
  </si>
  <si>
    <t>Hi-Haul Transport Pty Ltd</t>
  </si>
  <si>
    <t>P.O. Box 629, Heathmont, 3135</t>
  </si>
  <si>
    <t>P.O. Box 629</t>
  </si>
  <si>
    <t>Heathmont, 3135</t>
  </si>
  <si>
    <t xml:space="preserve">(03) 97293900 </t>
  </si>
  <si>
    <t>Greenfreight</t>
  </si>
  <si>
    <t>32 Ainslie Rd, Campbellfield, Victoria 3061</t>
  </si>
  <si>
    <t>32 Ainslie Rd</t>
  </si>
  <si>
    <t>Campbellfield, Victoria 3061</t>
  </si>
  <si>
    <t>(03) 9305 3277</t>
  </si>
  <si>
    <t>(03) 9305 3114</t>
  </si>
  <si>
    <t>WX 32AO</t>
  </si>
  <si>
    <t>Harris Dept Dry Creek.</t>
  </si>
  <si>
    <t>09-May-2013</t>
  </si>
  <si>
    <t>6:08 pm</t>
  </si>
  <si>
    <t>1280</t>
  </si>
  <si>
    <t>Turners Refridgeration Transport</t>
  </si>
  <si>
    <t>Lamanna Group (Adelaide) Store31</t>
  </si>
  <si>
    <t>admin@greenfreight.com.au</t>
  </si>
  <si>
    <t>Freds</t>
  </si>
  <si>
    <t>P.O. Box 2077, Shepparton, VIC. 3630</t>
  </si>
  <si>
    <t>P.O. Box 2077</t>
  </si>
  <si>
    <t>Shepparton, VIC. 3630</t>
  </si>
  <si>
    <t>(03) 5820 2400</t>
  </si>
  <si>
    <t>(03) 5820  2521</t>
  </si>
  <si>
    <t>freds@freds.com.au</t>
  </si>
  <si>
    <t>John Bogdan Transport</t>
  </si>
  <si>
    <t xml:space="preserve">Hatton Lane, Shepparton, VIC 3630 </t>
  </si>
  <si>
    <t>Hatton Lane</t>
  </si>
  <si>
    <t xml:space="preserve">Shepparton, VIC 3630 </t>
  </si>
  <si>
    <t xml:space="preserve">(03) 215439 </t>
  </si>
  <si>
    <t>Anderson Transport</t>
  </si>
  <si>
    <t>4 Valley Drv, Oak Valley QLD 4811</t>
  </si>
  <si>
    <t>4 Valley Drv</t>
  </si>
  <si>
    <t>Oak Valley QLD 4811</t>
  </si>
  <si>
    <t>(07) 4778 2899</t>
  </si>
  <si>
    <t>(07) 4778 2898</t>
  </si>
  <si>
    <t>WX90AL</t>
  </si>
  <si>
    <t>12:45 am</t>
  </si>
  <si>
    <t>tom</t>
  </si>
  <si>
    <t>10-Oct-2012</t>
  </si>
  <si>
    <t>9:15 pm</t>
  </si>
  <si>
    <t>Mulgowie farmers</t>
  </si>
  <si>
    <t>andersontransportservices@hotmail.com</t>
  </si>
  <si>
    <t>Flemington Markets
Shed N5-N6, Flemington NSW 2140</t>
  </si>
  <si>
    <t>Flemington Markets
Shed N5-N6</t>
  </si>
  <si>
    <t>Flemington NSW 2140</t>
  </si>
  <si>
    <t>Farm1057a Willbriggie Rd, Hanwood NSW 2680</t>
  </si>
  <si>
    <t>Farm1057a Willbriggie Rd</t>
  </si>
  <si>
    <t>Hanwood NSW 2680</t>
  </si>
  <si>
    <t>680 Linton Naringhil Rd, Linton VIC 3360</t>
  </si>
  <si>
    <t>680 Linton Naringhil Rd</t>
  </si>
  <si>
    <t>Linton VIC 3360</t>
  </si>
  <si>
    <t>PO Box 305, Hunter Region Mail Centre
NSW 2310</t>
  </si>
  <si>
    <t>PO Box 305</t>
  </si>
  <si>
    <t>Hunter Region Mail Centre
NSW 2310</t>
  </si>
  <si>
    <t xml:space="preserve">Patrick's </t>
  </si>
  <si>
    <t>261 Salmon St Port, Melbourne VIC 3207</t>
  </si>
  <si>
    <t>261 Salmon St Port</t>
  </si>
  <si>
    <t>Melbourne VIC 3207</t>
  </si>
  <si>
    <t>(03) 9248 7000</t>
  </si>
  <si>
    <t>(03) 9248 7380</t>
  </si>
  <si>
    <t>web@patrick.com.au</t>
  </si>
  <si>
    <t>Rodney's Transport Service</t>
  </si>
  <si>
    <t>Lot 4 Bomen Road, Wagga Wagga NSW 2650</t>
  </si>
  <si>
    <t>Lot 4 Bomen Road</t>
  </si>
  <si>
    <t>Wagga Wagga NSW 2650</t>
  </si>
  <si>
    <t xml:space="preserve"> (02) 6937 9100</t>
  </si>
  <si>
    <t>(02) 6921 2417</t>
  </si>
  <si>
    <t>contact@rodneystransport.com.au</t>
  </si>
  <si>
    <t>Cavtrans Pty Ltd</t>
  </si>
  <si>
    <t>PO Box 3496, Red Cliffs VIC, 3496</t>
  </si>
  <si>
    <t>PO Box 3496</t>
  </si>
  <si>
    <t>Red Cliffs VIC, 3496</t>
  </si>
  <si>
    <t>0417 829 730</t>
  </si>
  <si>
    <t>SX78EU</t>
  </si>
  <si>
    <t>11:55 pm</t>
  </si>
  <si>
    <t>David Seyfang</t>
  </si>
  <si>
    <t>17-Dec-2009</t>
  </si>
  <si>
    <t>8:25 pm</t>
  </si>
  <si>
    <t>2</t>
  </si>
  <si>
    <t>J. H. Leavy Bris Markets</t>
  </si>
  <si>
    <t>James Altman Loxton SA</t>
  </si>
  <si>
    <t>Thornhill Transport</t>
  </si>
  <si>
    <t xml:space="preserve">Cnr Cook &amp; Hume Sts, Taminda, NSW 2340 </t>
  </si>
  <si>
    <t>Cnr Cook &amp; Hume Sts</t>
  </si>
  <si>
    <t xml:space="preserve">Taminda, NSW 2340 </t>
  </si>
  <si>
    <t xml:space="preserve">(02) 6765 9566 </t>
  </si>
  <si>
    <t>33 Naweena Rd, Regency Park SA 5010 </t>
  </si>
  <si>
    <t>33 Naweena Rd</t>
  </si>
  <si>
    <t>Regency Park SA 5010 </t>
  </si>
  <si>
    <t>PO Box 231, Dry Creek SA  5094</t>
  </si>
  <si>
    <t>PO Box 231</t>
  </si>
  <si>
    <t>Dry Creek SA  5094</t>
  </si>
  <si>
    <t>1201 Main North Rd, Pooraka SA  5095 </t>
  </si>
  <si>
    <t>1201 Main North Rd</t>
  </si>
  <si>
    <t>Pooraka SA  5095 </t>
  </si>
  <si>
    <t>50 Athol St  , Athol Park SA  5012</t>
  </si>
  <si>
    <t>50 Athol St  </t>
  </si>
  <si>
    <t>Athol Park SA  5012</t>
  </si>
  <si>
    <t>22 Samuel St, Smithfield SA  5114</t>
  </si>
  <si>
    <t>22 Samuel St</t>
  </si>
  <si>
    <t>SX17EH</t>
  </si>
  <si>
    <t>00.39AM</t>
  </si>
  <si>
    <t>ACORN RD DRY CREEK</t>
  </si>
  <si>
    <t>KEN INNIS</t>
  </si>
  <si>
    <t>02-Dec-2009</t>
  </si>
  <si>
    <t>8:08 pm</t>
  </si>
  <si>
    <t>28x 1/2</t>
  </si>
  <si>
    <t>Nolan's trans---gatton qld4343</t>
  </si>
  <si>
    <t xml:space="preserve">L&amp;mg mercorella  60hawker rd BURTON </t>
  </si>
  <si>
    <t>BrUSH POTATOES</t>
  </si>
  <si>
    <t>acorn rd dry creek</t>
  </si>
  <si>
    <t>2X 128X15KG</t>
  </si>
  <si>
    <t>NoLANS TRANS-GATTON QLD 4343</t>
  </si>
  <si>
    <t>Smithfield SA  5114</t>
  </si>
  <si>
    <t>563 Grand Junction Road, Wingfiled SA 5013</t>
  </si>
  <si>
    <t>563 Grand Junction Road</t>
  </si>
  <si>
    <t>Wingfiled SA 5013</t>
  </si>
  <si>
    <t>10 Camira St, Regency Park SA 5010</t>
  </si>
  <si>
    <t>10 Camira St</t>
  </si>
  <si>
    <t>Regency Park SA 5010</t>
  </si>
  <si>
    <t>19 - 25 Birralee Road, Regency Park  SA 5010</t>
  </si>
  <si>
    <t>19 - 25 Birralee Road</t>
  </si>
  <si>
    <t>Regency Park  SA 5010</t>
  </si>
  <si>
    <t>4 Bradford Way, Cavan SA 5094</t>
  </si>
  <si>
    <t>4 Bradford Way</t>
  </si>
  <si>
    <t>Cavan SA 5094</t>
  </si>
  <si>
    <t>WX88AL</t>
  </si>
  <si>
    <t>12:24 am</t>
  </si>
  <si>
    <t>Glen</t>
  </si>
  <si>
    <t>22-Dec-2010</t>
  </si>
  <si>
    <t>Hocking Rd, Robinvale, VIC 3549</t>
  </si>
  <si>
    <t>Stramare Produce, Store 50, Adelaide Produce Markets, Pooraka SA, 5095</t>
  </si>
  <si>
    <t>Les cowell</t>
  </si>
  <si>
    <t>18-May-2013</t>
  </si>
  <si>
    <t>244</t>
  </si>
  <si>
    <t>Bundaberg refrigertion</t>
  </si>
  <si>
    <t>8:54 pm</t>
  </si>
  <si>
    <t>1704</t>
  </si>
  <si>
    <t>Butternut Pumpkins/  onions</t>
  </si>
  <si>
    <t>SX47EH</t>
  </si>
  <si>
    <t>8:09 pm</t>
  </si>
  <si>
    <t>harris dept  dry creek SA</t>
  </si>
  <si>
    <t>20-Dec-2011</t>
  </si>
  <si>
    <t>4:39 pm</t>
  </si>
  <si>
    <t>2x112/4xhalfbins/6x360</t>
  </si>
  <si>
    <t>1/2 Bins/ bags</t>
  </si>
  <si>
    <t>Freshways/  gatton</t>
  </si>
  <si>
    <t>Golden grace  SA</t>
  </si>
  <si>
    <t>Pinata Marketing</t>
  </si>
  <si>
    <t>12:26 am</t>
  </si>
  <si>
    <t>8:56 pm</t>
  </si>
  <si>
    <t>1024</t>
  </si>
  <si>
    <t>138- 144 Francis Rd, Wingfield SA 5013 </t>
  </si>
  <si>
    <t>138- 144 Francis Rd</t>
  </si>
  <si>
    <t>Wingfield SA 5013 </t>
  </si>
  <si>
    <t>47 Walker Ave  , Mannum SA 5238</t>
  </si>
  <si>
    <t>47 Walker Ave  </t>
  </si>
  <si>
    <t>Mannum SA 5238</t>
  </si>
  <si>
    <t>9 Naweena Rd, Regency Park SA 5010</t>
  </si>
  <si>
    <t>9 Naweena Rd</t>
  </si>
  <si>
    <t>9 Naweena Road, Regency Park, SA 5942</t>
  </si>
  <si>
    <t>9 Naweena Road</t>
  </si>
  <si>
    <t>Regency Park, SA 5942</t>
  </si>
  <si>
    <t>Private Box 2300, Regency Park SA 5942</t>
  </si>
  <si>
    <t>Private Box 2300</t>
  </si>
  <si>
    <t>Regency Park SA 5942</t>
  </si>
  <si>
    <t>PO Box 358, Ramco SA 5322</t>
  </si>
  <si>
    <t>PO Box 358</t>
  </si>
  <si>
    <t>Ramco SA 5322</t>
  </si>
  <si>
    <t>FJS 10</t>
  </si>
  <si>
    <t>1:05 am</t>
  </si>
  <si>
    <t>HARRY</t>
  </si>
  <si>
    <t>18-Sep-2011</t>
  </si>
  <si>
    <t>9:35 pm</t>
  </si>
  <si>
    <t>9</t>
  </si>
  <si>
    <t>plats</t>
  </si>
  <si>
    <t>PERTH</t>
  </si>
  <si>
    <t>JFS10</t>
  </si>
  <si>
    <t>1:09 am</t>
  </si>
  <si>
    <t>9:39 pm</t>
  </si>
  <si>
    <t>PLTS</t>
  </si>
  <si>
    <t>P.O Box 200, Karoonda SA 5037</t>
  </si>
  <si>
    <t>P.O Box 200</t>
  </si>
  <si>
    <t>Karoonda SA 5037</t>
  </si>
  <si>
    <t>154 South Avenue</t>
  </si>
  <si>
    <t>Bordertown SA 5268</t>
  </si>
  <si>
    <t>PO Box 54, Eudunda, SA 5374</t>
  </si>
  <si>
    <t>PO Box 54</t>
  </si>
  <si>
    <t>Eudunda, SA 5374</t>
  </si>
  <si>
    <t>Lot 31 Road Train Drv, Two Wells SA 5501</t>
  </si>
  <si>
    <t>Lot 31 Road Train Drv</t>
  </si>
  <si>
    <t>Two Wells SA 5501</t>
  </si>
  <si>
    <t>563 Grand Junction Road, Wingfield SA 5013</t>
  </si>
  <si>
    <t>Wingfield SA 5013</t>
  </si>
  <si>
    <t>561 Waterloo Cnr Rd, Adelaide SA 5062</t>
  </si>
  <si>
    <t>561 Waterloo Cnr Rd</t>
  </si>
  <si>
    <t>4:57 pm</t>
  </si>
  <si>
    <t>08-May-2011</t>
  </si>
  <si>
    <t>1:27 pm</t>
  </si>
  <si>
    <t>Bundaburg</t>
  </si>
  <si>
    <t>Adelaide SA 5062</t>
  </si>
  <si>
    <t>25 Barossa Valley Way, Nuriootpa SA, 5355</t>
  </si>
  <si>
    <t>25 Barossa Valley Way</t>
  </si>
  <si>
    <t>Nuriootpa SA, 5355</t>
  </si>
  <si>
    <t>PO Box 2423, Port Adelaide SA 5015</t>
  </si>
  <si>
    <t>PO Box 2423</t>
  </si>
  <si>
    <t>Port Adelaide SA 5015</t>
  </si>
  <si>
    <t>PO Box 2451,  Dry Creek SA 5094</t>
  </si>
  <si>
    <t>PO Box 2451</t>
  </si>
  <si>
    <t>Size</t>
  </si>
  <si>
    <t xml:space="preserve">Shop 7/ 9 Martha St,  Loxton, SA 5333 </t>
  </si>
  <si>
    <t>Shop 7/ 9 Martha St</t>
  </si>
  <si>
    <t>SXOPDT</t>
  </si>
  <si>
    <t>5:20 pm</t>
  </si>
  <si>
    <t>Coles - Burton</t>
  </si>
  <si>
    <t>15-May-2010</t>
  </si>
  <si>
    <t>1:50 pm</t>
  </si>
  <si>
    <t>Steinbrecher</t>
  </si>
  <si>
    <t>QV10VX</t>
  </si>
  <si>
    <t>3:29 pm</t>
  </si>
  <si>
    <t>Ceduna Quarantine statiion</t>
  </si>
  <si>
    <t>Harry Cowen</t>
  </si>
  <si>
    <t>19-Feb-2012</t>
  </si>
  <si>
    <t>11:59 am</t>
  </si>
  <si>
    <t>132 bins</t>
  </si>
  <si>
    <t>Sunland Agriculture  hillston nsw 2675</t>
  </si>
  <si>
    <t>Ceduna SA</t>
  </si>
  <si>
    <t>192</t>
  </si>
  <si>
    <t>Carter &amp; Spencer</t>
  </si>
  <si>
    <t>ST59CG</t>
  </si>
  <si>
    <t>norm thomes</t>
  </si>
  <si>
    <t>15-Oct-2012</t>
  </si>
  <si>
    <t>1/78</t>
  </si>
  <si>
    <t>Malgowie</t>
  </si>
  <si>
    <t>Coles (Burton)</t>
  </si>
  <si>
    <t xml:space="preserve">(08) 85847438 </t>
  </si>
  <si>
    <t>Gommers D A &amp; J A &amp; Son Pty Ltd</t>
  </si>
  <si>
    <t>Brinkley Rd, Murray Bridge SA 5253</t>
  </si>
  <si>
    <t>Brinkley Rd</t>
  </si>
  <si>
    <t>Murray Bridge SA 5253</t>
  </si>
  <si>
    <t>(08) 8531 1891</t>
  </si>
  <si>
    <t>(08) 8531 1874</t>
  </si>
  <si>
    <t>0408 813 191</t>
  </si>
  <si>
    <t>gommers@baonline.com.au</t>
  </si>
  <si>
    <t>Garden Grove</t>
  </si>
  <si>
    <t xml:space="preserve">1150 Golden Grove Rd ( Cnr Einstein Drv ), Golden Grove SA 5125 </t>
  </si>
  <si>
    <t>1150 Golden Grove Rd ( Cnr Einstein Drv )</t>
  </si>
  <si>
    <t xml:space="preserve">Golden Grove SA 5125 </t>
  </si>
  <si>
    <t>(08) 8251 1111</t>
  </si>
  <si>
    <t>(08) 8251 3435</t>
  </si>
  <si>
    <t>enquiries@gardengrove.com.au</t>
  </si>
  <si>
    <t>Lobethal Freightlines Pty Ltd</t>
  </si>
  <si>
    <t>PO Box 95, Lobethal SA 5241</t>
  </si>
  <si>
    <t>PO Box 95</t>
  </si>
  <si>
    <t>Lobethal SA 5241</t>
  </si>
  <si>
    <t>(08) 8389 6611</t>
  </si>
  <si>
    <t>0419 840 456</t>
  </si>
  <si>
    <t xml:space="preserve">admin@lobethalfreightlines.com.au </t>
  </si>
  <si>
    <t>G &amp; J Reed Transport</t>
  </si>
  <si>
    <t>10 Ford Street, Ottoway, SA 5013</t>
  </si>
  <si>
    <t>10 Ford Street</t>
  </si>
  <si>
    <t>Ottoway, SA 5013</t>
  </si>
  <si>
    <t>Border Express</t>
  </si>
  <si>
    <t>PO Box 374, Salisbury South SA 5106</t>
  </si>
  <si>
    <t>PO Box 374</t>
  </si>
  <si>
    <t>Salisbury South SA 5106</t>
  </si>
  <si>
    <t>(08) 8209 6300</t>
  </si>
  <si>
    <t>(08) 8209 6350</t>
  </si>
  <si>
    <t>Ronnoc Transport Pty Ltd</t>
  </si>
  <si>
    <t>PO Box 713, Willunga SA 5172</t>
  </si>
  <si>
    <t>PO Box 713</t>
  </si>
  <si>
    <t>Willunga SA 5172</t>
  </si>
  <si>
    <t>(08) 8556 2062</t>
  </si>
  <si>
    <t>(08) 8556 2863</t>
  </si>
  <si>
    <t>0413 705 834</t>
  </si>
  <si>
    <t xml:space="preserve">Bunker Freights Lines </t>
  </si>
  <si>
    <t>31 Kapara Rd, Gillman SA 5013</t>
  </si>
  <si>
    <t>31 Kapara Rd</t>
  </si>
  <si>
    <t>Gillman SA 5013</t>
  </si>
  <si>
    <t>(08) 8340 1262</t>
  </si>
  <si>
    <t>156 Churchill Road, Kilburn SA 5094</t>
  </si>
  <si>
    <t>156 Churchill Road</t>
  </si>
  <si>
    <t>Kilburn SA 5094</t>
  </si>
  <si>
    <t>4- 6 Johanssen Rd  , Wingfield SA 5013</t>
  </si>
  <si>
    <t>4- 6 Johanssen Rd  </t>
  </si>
  <si>
    <t>Cnr Lindsay &amp; Brian Rds, Lonsdale SA 5160 </t>
  </si>
  <si>
    <t>Cnr Lindsay &amp; Brian Rds</t>
  </si>
  <si>
    <t>Lonsdale SA 5160 </t>
  </si>
  <si>
    <t>Siegersdorf Rd, Nuriootpa SA 5355 </t>
  </si>
  <si>
    <t>Siegersdorf Rd</t>
  </si>
  <si>
    <t>Nuriootpa SA 5355 </t>
  </si>
  <si>
    <t>8-10 C.B. Fisher Drive</t>
  </si>
  <si>
    <t xml:space="preserve">Cavan, SA 5094 </t>
  </si>
  <si>
    <t xml:space="preserve">22 Samuel Rd, Smithfield SA 5114 </t>
  </si>
  <si>
    <t>22 Samuel Rd</t>
  </si>
  <si>
    <t xml:space="preserve">Smithfield SA 5114 </t>
  </si>
  <si>
    <t>Auscold Logistics</t>
  </si>
  <si>
    <t>SX20EH</t>
  </si>
  <si>
    <t>11:44 pm</t>
  </si>
  <si>
    <t>Farmhouse Fresh S.A., Store 19 &amp; 20, Apml, Diagonal Road,  ,</t>
  </si>
  <si>
    <t>Peter McInerney</t>
  </si>
  <si>
    <t>Pershouse Produce - Brisbane Markets</t>
  </si>
  <si>
    <t>51 - 53 Diagonal Rd, Pooraka SA 5095</t>
  </si>
  <si>
    <t>51 - 53 Diagonal Rd</t>
  </si>
  <si>
    <t>Pooraka SA 5095</t>
  </si>
  <si>
    <t>brenton@auscold.com.au</t>
  </si>
  <si>
    <t>PO Box 8026, Mt Gambier East SA, 5291</t>
  </si>
  <si>
    <t>PO Box 8026</t>
  </si>
  <si>
    <t>Mt Gambier East SA, 5291</t>
  </si>
  <si>
    <t>PO Box 2275, Port Adelaide SA 5015</t>
  </si>
  <si>
    <t>PO Box 2275</t>
  </si>
  <si>
    <t>QV08PO</t>
  </si>
  <si>
    <t>11:40 pm</t>
  </si>
  <si>
    <t>pyramid organics</t>
  </si>
  <si>
    <t>richard Timmerman</t>
  </si>
  <si>
    <t>27-Sep-2009</t>
  </si>
  <si>
    <t>8:10 pm</t>
  </si>
  <si>
    <t xml:space="preserve">X-Factor Express Pty Ltd </t>
  </si>
  <si>
    <t>5 Tennyson St, Kurralta Park SA 5037</t>
  </si>
  <si>
    <t>5 Tennyson St</t>
  </si>
  <si>
    <t>SX09DT</t>
  </si>
  <si>
    <t>12:15 am</t>
  </si>
  <si>
    <t>14-Sep-2009</t>
  </si>
  <si>
    <t>8:45 pm</t>
  </si>
  <si>
    <t>12pallet</t>
  </si>
  <si>
    <t>Berry exchange corini</t>
  </si>
  <si>
    <t>Harris  Perth</t>
  </si>
  <si>
    <t>cody lovet</t>
  </si>
  <si>
    <t>Kurralta Park SA 5037</t>
  </si>
  <si>
    <t>9 -11 North Tce, Wingfield SA 5013</t>
  </si>
  <si>
    <t>9 -11 North Tce</t>
  </si>
  <si>
    <t>Milawa Transport Services</t>
  </si>
  <si>
    <t>C/O KTI Transport, 70 Rosewater Terrace, Ottoway SA 5013</t>
  </si>
  <si>
    <t>C/O KTI Transport, 70 Rosewater Terrace</t>
  </si>
  <si>
    <t>Ottoway, SA, 5013</t>
  </si>
  <si>
    <t>(03) 57 23 8700</t>
  </si>
  <si>
    <t xml:space="preserve">(03) 57 23 8750 </t>
  </si>
  <si>
    <t>gary@miltrans.com.au</t>
  </si>
  <si>
    <t>Hentschke Transport</t>
  </si>
  <si>
    <t>QV08NU</t>
  </si>
  <si>
    <t>1:02 am</t>
  </si>
  <si>
    <t>Diagonal Rd, Pooraka</t>
  </si>
  <si>
    <t>Steve Richardson</t>
  </si>
  <si>
    <t>9:32 pm</t>
  </si>
  <si>
    <t>12</t>
  </si>
  <si>
    <t>Winpak - Gatton</t>
  </si>
  <si>
    <t>T Russo Adelaide</t>
  </si>
  <si>
    <t>Bookpurnong Road, Loxton SA 533</t>
  </si>
  <si>
    <t>Bookpurnong Road</t>
  </si>
  <si>
    <t>Loxton SA 533</t>
  </si>
  <si>
    <t>(08) 8584 5255</t>
  </si>
  <si>
    <t>(08) 8584 5766</t>
  </si>
  <si>
    <t>hentschke@riverland.net.au</t>
  </si>
  <si>
    <t>Dry Creek SA 5094</t>
  </si>
  <si>
    <t xml:space="preserve">Loxton, SA 5333 </t>
  </si>
  <si>
    <t>Regional</t>
  </si>
  <si>
    <t>STAFF - Regional</t>
  </si>
  <si>
    <t>Frank Albanese</t>
  </si>
  <si>
    <t>Les Hill</t>
  </si>
  <si>
    <t>Mark Bartetzko</t>
  </si>
  <si>
    <t>Robert Fforde</t>
  </si>
  <si>
    <t>Tom Waterman</t>
  </si>
  <si>
    <t>Marj &amp; Warren Meier</t>
  </si>
  <si>
    <t>418 Mission Beach Road, Tully QLD 4854</t>
  </si>
  <si>
    <t>(07) 40682862</t>
  </si>
  <si>
    <t>(07) 40680774</t>
  </si>
  <si>
    <t>0418744260</t>
  </si>
  <si>
    <t>marj_warren@bigpond.com.au</t>
  </si>
  <si>
    <t>Ienco's Freight</t>
  </si>
  <si>
    <t>Box 158 Wangan, QLD 4871</t>
  </si>
  <si>
    <t>(07) 4061 7455</t>
  </si>
  <si>
    <t>(07) 4061 7388</t>
  </si>
  <si>
    <t>0447 046 192</t>
  </si>
  <si>
    <t>ienfreight@bigpond.com</t>
  </si>
  <si>
    <t>Hernes Freight Service Pty Ltd</t>
  </si>
  <si>
    <t>Box 6398 South Lismore, NSW 2480</t>
  </si>
  <si>
    <t>(02) 6621 5244</t>
  </si>
  <si>
    <t>(02) 6622 1425</t>
  </si>
  <si>
    <t>Gayndah Packers</t>
  </si>
  <si>
    <t>Onions potatoes  pumpkins</t>
  </si>
  <si>
    <t>SX49DU</t>
  </si>
  <si>
    <t>9:54 pm</t>
  </si>
  <si>
    <t>cody lovett</t>
  </si>
  <si>
    <t>26-Nov-2009</t>
  </si>
  <si>
    <t>6:24 pm</t>
  </si>
  <si>
    <t>15  7  2</t>
  </si>
  <si>
    <t>Nolins transport</t>
  </si>
  <si>
    <t>Fruitorama   jammal produce</t>
  </si>
  <si>
    <t>37 Bridge St (Box 161) Gayndah, QLD 4625</t>
  </si>
  <si>
    <t>(07) 4161 2712</t>
  </si>
  <si>
    <t>(07) 4161 2793</t>
  </si>
  <si>
    <t>info@gaypak.com.au</t>
  </si>
  <si>
    <t>Trading As</t>
  </si>
  <si>
    <t>Mailing Address</t>
  </si>
  <si>
    <t>Suburb</t>
  </si>
  <si>
    <t>State</t>
  </si>
  <si>
    <t>Postcode</t>
  </si>
  <si>
    <t>Attention:</t>
  </si>
  <si>
    <t>Greeting</t>
  </si>
  <si>
    <t>Phone numbers</t>
  </si>
  <si>
    <t>Fax Number</t>
  </si>
  <si>
    <t>R &amp; B Rotolo Pty Ltd</t>
  </si>
  <si>
    <t>Store 1, Adelaide Produce Markets</t>
  </si>
  <si>
    <t>SX 48EK</t>
  </si>
  <si>
    <t>8:31 pm</t>
  </si>
  <si>
    <t>Wayne Gregory</t>
  </si>
  <si>
    <t>27-Oct-2012</t>
  </si>
  <si>
    <t>5:00 pm</t>
  </si>
  <si>
    <t>185</t>
  </si>
  <si>
    <t>Shoobridge Transport N.S.W</t>
  </si>
  <si>
    <t>Springer Food W.A</t>
  </si>
  <si>
    <t>Pooraka</t>
  </si>
  <si>
    <t>Jutz Riccio</t>
  </si>
  <si>
    <t>SX21EH</t>
  </si>
  <si>
    <t>12:13 am</t>
  </si>
  <si>
    <t>kevin</t>
  </si>
  <si>
    <t>11-Feb-2010</t>
  </si>
  <si>
    <t>8:43 pm</t>
  </si>
  <si>
    <t>64=346</t>
  </si>
  <si>
    <t>Wamuran</t>
  </si>
  <si>
    <t>Jutz</t>
  </si>
  <si>
    <t xml:space="preserve">8349 4166 </t>
  </si>
  <si>
    <t>8262 6211</t>
  </si>
  <si>
    <t>Jammal Produce</t>
  </si>
  <si>
    <t>Store 2, Adelaide Produce Markets</t>
  </si>
  <si>
    <t>Sami al Jammal</t>
  </si>
  <si>
    <t xml:space="preserve">Sami </t>
  </si>
  <si>
    <t>8349 4793</t>
  </si>
  <si>
    <t>SX72EH</t>
  </si>
  <si>
    <t>9:00 pm</t>
  </si>
  <si>
    <t>premer fruit 360 whitehall st. yarraville vic</t>
  </si>
  <si>
    <t>peter mindis</t>
  </si>
  <si>
    <t>03-Dec-2011</t>
  </si>
  <si>
    <t>5:30 pm</t>
  </si>
  <si>
    <t>16x1/2</t>
  </si>
  <si>
    <t>Cummings produce</t>
  </si>
  <si>
    <t>Premier fruit warhouse</t>
  </si>
  <si>
    <t>8349 6832</t>
  </si>
  <si>
    <t>Musolino Hi Tech Hydroponics; Hi Tech Processors;  Farmers Choice</t>
  </si>
  <si>
    <t>Po Box 1106</t>
  </si>
  <si>
    <t>Virginia</t>
  </si>
  <si>
    <t>Dino Musolino</t>
  </si>
  <si>
    <t>Dino</t>
  </si>
  <si>
    <t>4:22 pm</t>
  </si>
  <si>
    <t>27-Dec-2011</t>
  </si>
  <si>
    <t>12:52 pm</t>
  </si>
  <si>
    <t>Brisbane</t>
  </si>
  <si>
    <t>8349 5777</t>
  </si>
  <si>
    <t>Kenny's Fruit Veg Wholesaler</t>
  </si>
  <si>
    <t>Store 5, Adelaide Produce Markets</t>
  </si>
  <si>
    <t>Kenny Roberts</t>
  </si>
  <si>
    <t>Kenny</t>
  </si>
  <si>
    <t>8359 0508</t>
  </si>
  <si>
    <t>8260 6089</t>
  </si>
  <si>
    <t>Bache Bros / The House of Bache</t>
  </si>
  <si>
    <t>Stores 6 &amp; 7, Adelaide Produce Markets</t>
  </si>
  <si>
    <t>George Mercurio</t>
  </si>
  <si>
    <t xml:space="preserve">George </t>
  </si>
  <si>
    <t>8349 4311</t>
  </si>
  <si>
    <t>8349 4349</t>
  </si>
  <si>
    <t>K R Filsells &amp; Sons / Hillview Fruits Nominees Pty Ltd</t>
  </si>
  <si>
    <t>Store 9, Adelaide Produce Markets</t>
  </si>
  <si>
    <t>6:52 pm</t>
  </si>
  <si>
    <t>01-Apr-2012</t>
  </si>
  <si>
    <t>3:22 pm</t>
  </si>
  <si>
    <t>one</t>
  </si>
  <si>
    <t>Costa farms</t>
  </si>
  <si>
    <t>Costa farns</t>
  </si>
  <si>
    <t>Ashley Green</t>
  </si>
  <si>
    <t xml:space="preserve">Ashley </t>
  </si>
  <si>
    <t>8349 9993</t>
  </si>
  <si>
    <t>8349 8139</t>
  </si>
  <si>
    <t>Ozzy Fresh</t>
  </si>
  <si>
    <t>Store 10, Adelaide Produce Markets</t>
  </si>
  <si>
    <t>Joe Agostino</t>
  </si>
  <si>
    <t>Joe</t>
  </si>
  <si>
    <t>8359 4555</t>
  </si>
  <si>
    <t>8337 2380</t>
  </si>
  <si>
    <t>George Polverino Pty Ltd</t>
  </si>
  <si>
    <t>Store 11, Adelaide Produce Markets</t>
  </si>
  <si>
    <t>George Polverino</t>
  </si>
  <si>
    <t>8349 4559</t>
  </si>
  <si>
    <t xml:space="preserve">8349 4926 </t>
  </si>
  <si>
    <t>AF Parker &amp; Sons Sales Pty Ltd</t>
  </si>
  <si>
    <t>Store 12, Adelaide Produce Markets</t>
  </si>
  <si>
    <t xml:space="preserve">Brian Parker </t>
  </si>
  <si>
    <t xml:space="preserve">Brian </t>
  </si>
  <si>
    <t>8349 5579</t>
  </si>
  <si>
    <t>8390 1765</t>
  </si>
  <si>
    <t>Select Naturally</t>
  </si>
  <si>
    <t>Store 13, Adelaide Produce Markets</t>
  </si>
  <si>
    <t>Joe Sappio</t>
  </si>
  <si>
    <t>8349 4937</t>
  </si>
  <si>
    <t>8349 8007</t>
  </si>
  <si>
    <t>Mercurio Bros</t>
  </si>
  <si>
    <t>Store 14, Adelaide Produce Markets</t>
  </si>
  <si>
    <t>Christine Mercurio</t>
  </si>
  <si>
    <t>Christine</t>
  </si>
  <si>
    <t>8349 5168</t>
  </si>
  <si>
    <t>8349 4524</t>
  </si>
  <si>
    <t>R Cannizzaro Pty Ltd</t>
  </si>
  <si>
    <t>Store 15, Adelaide Produce Markets</t>
  </si>
  <si>
    <t>Cathy Cannizzaro</t>
  </si>
  <si>
    <t>Cathy</t>
  </si>
  <si>
    <t>8349 5225</t>
  </si>
  <si>
    <t>8349 6361</t>
  </si>
  <si>
    <t>D &amp; G Fresh Fruit Distributors</t>
  </si>
  <si>
    <t>Store 16, Adelaide Produce Markets</t>
  </si>
  <si>
    <t xml:space="preserve">George Koukos  </t>
  </si>
  <si>
    <t>8349 6249</t>
  </si>
  <si>
    <t>8349 6484</t>
  </si>
  <si>
    <t>Wild Salad Pty Ltd</t>
  </si>
  <si>
    <t>Store 17, Adelaide Produce Markets</t>
  </si>
  <si>
    <t>William (Woodie) Allen</t>
  </si>
  <si>
    <t>William</t>
  </si>
  <si>
    <t>8349 4895</t>
  </si>
  <si>
    <t>8349 4896</t>
  </si>
  <si>
    <t>The Lettuce Centre</t>
  </si>
  <si>
    <t>Store 18, Adelaide Produce Markets</t>
  </si>
  <si>
    <t>Juliet Giangregorio</t>
  </si>
  <si>
    <t>Juliet</t>
  </si>
  <si>
    <t>8262 5510</t>
  </si>
  <si>
    <t>8260 4364</t>
  </si>
  <si>
    <t>8359 6123</t>
  </si>
  <si>
    <t>8359 4360</t>
  </si>
  <si>
    <t>Fresh Pick</t>
  </si>
  <si>
    <t>Store 21, Adelaide Produce Markets</t>
  </si>
  <si>
    <t>Nick Scopelitis / David Simpson</t>
  </si>
  <si>
    <t>Sirs</t>
  </si>
  <si>
    <t>8349 5540</t>
  </si>
  <si>
    <t>8349 7969</t>
  </si>
  <si>
    <t>Palma Bros</t>
  </si>
  <si>
    <t>Store 22, Adelaide Produce Markets</t>
  </si>
  <si>
    <t>Antonio, Biaggio &amp; Pellegrino</t>
  </si>
  <si>
    <t>8349 7114</t>
  </si>
  <si>
    <t>8349 7118</t>
  </si>
  <si>
    <t>GT Produce</t>
  </si>
  <si>
    <t>Store 23, Adelaide Produce Markets</t>
  </si>
  <si>
    <t>Geoff Turley</t>
  </si>
  <si>
    <t>Geoff</t>
  </si>
  <si>
    <t>8349 6911</t>
  </si>
  <si>
    <t>8349 4478</t>
  </si>
  <si>
    <t>DP Exports Pty Ltd</t>
  </si>
  <si>
    <t>Store 24, Adelaide Produce Markets</t>
  </si>
  <si>
    <t xml:space="preserve">Ted De Poi </t>
  </si>
  <si>
    <t>Ted</t>
  </si>
  <si>
    <t>8349 4177</t>
  </si>
  <si>
    <t>8349 4003</t>
  </si>
  <si>
    <t>Fresh Exchange Pty Ltd</t>
  </si>
  <si>
    <t>Store 25 &amp; 26, Adelaide Produce Markets</t>
  </si>
  <si>
    <t>Adam Gallarello</t>
  </si>
  <si>
    <t>Adam</t>
  </si>
  <si>
    <t>8349 5044</t>
  </si>
  <si>
    <t>8349 5274</t>
  </si>
  <si>
    <t>The Mushroom Centre</t>
  </si>
  <si>
    <t>Store 27, Adelaide Produce Markets</t>
  </si>
  <si>
    <t>Mr Jeff Kimber</t>
  </si>
  <si>
    <t>Jeff</t>
  </si>
  <si>
    <t>8349 4038</t>
  </si>
  <si>
    <t>8349 4237</t>
  </si>
  <si>
    <t>Horsfalls Potatoes</t>
  </si>
  <si>
    <t>Store 28, Adelaide Produce Markets</t>
  </si>
  <si>
    <t>Peter Brinkworth</t>
  </si>
  <si>
    <t>Peter</t>
  </si>
  <si>
    <t>8349 4454</t>
  </si>
  <si>
    <t>02-Oct-2011</t>
  </si>
  <si>
    <t>360</t>
  </si>
  <si>
    <t>Freshwayz ptyBrook</t>
  </si>
  <si>
    <t>Coles S.A</t>
  </si>
  <si>
    <t>8349 5760</t>
  </si>
  <si>
    <t>Choice Fruit &amp; Veg</t>
  </si>
  <si>
    <t>Store 29, Adelaide Produce Markets</t>
  </si>
  <si>
    <t>Sam Puccini</t>
  </si>
  <si>
    <t>8260 3244</t>
  </si>
  <si>
    <t>8260 5595</t>
  </si>
  <si>
    <t>Fruitorama</t>
  </si>
  <si>
    <t>Store 30, Adelaide Produce Markets</t>
  </si>
  <si>
    <t>Tony Raschella</t>
  </si>
  <si>
    <t>Tony</t>
  </si>
  <si>
    <t>8349 6055</t>
  </si>
  <si>
    <t>LaManna Bananas (Adelaide) Pty Ltd</t>
  </si>
  <si>
    <t>Store 31, Adelaide Produce Markets</t>
  </si>
  <si>
    <t>John McArthur</t>
  </si>
  <si>
    <t>John</t>
  </si>
  <si>
    <t>8349 5022</t>
  </si>
  <si>
    <t>8349 5789</t>
  </si>
  <si>
    <t>Russo Produce Pty Ltd</t>
  </si>
  <si>
    <t>Store 34, Adelaide Produce Markets</t>
  </si>
  <si>
    <t>Carmine Russo</t>
  </si>
  <si>
    <t>Carmine</t>
  </si>
  <si>
    <t>8349 6611</t>
  </si>
  <si>
    <t>8349 6211</t>
  </si>
  <si>
    <t>Kevin Robinson</t>
  </si>
  <si>
    <t>08-Jan-2011</t>
  </si>
  <si>
    <t>496</t>
  </si>
  <si>
    <t>Pinata Marketing Wamuran Qld</t>
  </si>
  <si>
    <t>BD &amp; MD Nicol  &amp; Son Pty Ltd</t>
  </si>
  <si>
    <t>Stores 35 &amp; 36, Adelaide Produce Markets</t>
  </si>
  <si>
    <t>Doug Nicol</t>
  </si>
  <si>
    <t>Doug</t>
  </si>
  <si>
    <t>8349 7008</t>
  </si>
  <si>
    <t>8349 7045</t>
  </si>
  <si>
    <t>Tompak Produce</t>
  </si>
  <si>
    <t>Store 37, Adelaide Produce Markets</t>
  </si>
  <si>
    <t>Alex Zizzo</t>
  </si>
  <si>
    <t>Alex</t>
  </si>
  <si>
    <t>8260 1747</t>
  </si>
  <si>
    <t>8260 1247</t>
  </si>
  <si>
    <t>3:53 pm</t>
  </si>
  <si>
    <t>Woolworths Limited, Po Box 2332,  ,</t>
  </si>
  <si>
    <t>15-Nov-2009</t>
  </si>
  <si>
    <t>12:21 pm</t>
  </si>
  <si>
    <t>144</t>
  </si>
  <si>
    <t>Mulgowie Farming QLD</t>
  </si>
  <si>
    <t>G Zizzo &amp; Son</t>
  </si>
  <si>
    <t>Store 38, Adelaide Produce Markets</t>
  </si>
  <si>
    <t>8260 1755</t>
  </si>
  <si>
    <t>8260 1555</t>
  </si>
  <si>
    <t>Country Crisp Fresh Produce</t>
  </si>
  <si>
    <t>Store 39, Adelaide Produce Markets</t>
  </si>
  <si>
    <t>Xen Nikitopoulos</t>
  </si>
  <si>
    <t>Xen</t>
  </si>
  <si>
    <t>8349 4234</t>
  </si>
  <si>
    <t>8260 3384</t>
  </si>
  <si>
    <t>Belperio Brothers</t>
  </si>
  <si>
    <t>Store 40, Adelaide Produce Markets</t>
  </si>
  <si>
    <t>George Belperio</t>
  </si>
  <si>
    <t>8337 8138</t>
  </si>
  <si>
    <t>8337 1193</t>
  </si>
  <si>
    <t>AC Gibson Pty Ltd / Gibson Exports</t>
  </si>
  <si>
    <t>Store 41, Adelaide Produce Markets</t>
  </si>
  <si>
    <t>Jim Gibson</t>
  </si>
  <si>
    <t>Jim</t>
  </si>
  <si>
    <t>8349 6451</t>
  </si>
  <si>
    <t>8298 1220</t>
  </si>
  <si>
    <t>Pogas Produce</t>
  </si>
  <si>
    <t>Store 42, Adelaide Produce Markets</t>
  </si>
  <si>
    <t>Paul Pogas</t>
  </si>
  <si>
    <t>Paul</t>
  </si>
  <si>
    <t>8349 5909</t>
  </si>
  <si>
    <t>8284 7267</t>
  </si>
  <si>
    <t>Flavell's Fruit Sales</t>
  </si>
  <si>
    <t>Store 43, Adelaide Produce Markets</t>
  </si>
  <si>
    <t>Greg James</t>
  </si>
  <si>
    <t>Greg</t>
  </si>
  <si>
    <t>8389 8519</t>
  </si>
  <si>
    <t>8349 4238</t>
  </si>
  <si>
    <t>Stam Fruit Supply</t>
  </si>
  <si>
    <t>Stores 44 &amp; 45, Adelaide Produce Markets</t>
  </si>
  <si>
    <t>Adriana Stamatopoulos</t>
  </si>
  <si>
    <t>Adriana</t>
  </si>
  <si>
    <t>8260 4188</t>
  </si>
  <si>
    <t>8349 6141</t>
  </si>
  <si>
    <t>Garden Fresh / Scalzi Produce</t>
  </si>
  <si>
    <t>Store 46, Adelaide Produce Markets</t>
  </si>
  <si>
    <t>Pat Scalzi</t>
  </si>
  <si>
    <t>Pat</t>
  </si>
  <si>
    <t>8349 6899</t>
  </si>
  <si>
    <t>8349 6268</t>
  </si>
  <si>
    <t>City Fruit &amp; Veg. Supply / Scalzi Produce.</t>
  </si>
  <si>
    <t>Store 47, Adelaide Produce Markets</t>
  </si>
  <si>
    <t>Store 48, Adelaide Produce Markets</t>
  </si>
  <si>
    <t>Collins Orchards</t>
  </si>
  <si>
    <t>Store 49, Adelaide Produce Markets</t>
  </si>
  <si>
    <t>Tim Collins</t>
  </si>
  <si>
    <t>Tim</t>
  </si>
  <si>
    <t>8349 4984</t>
  </si>
  <si>
    <t>8349 4965</t>
  </si>
  <si>
    <t>Stramare Produce</t>
  </si>
  <si>
    <t>Store 50, Adelaide Produce Markets</t>
  </si>
  <si>
    <t>David Trosti</t>
  </si>
  <si>
    <t>David</t>
  </si>
  <si>
    <t>8349 7033</t>
  </si>
  <si>
    <t>8349 4936</t>
  </si>
  <si>
    <t>The Fresh Fruit for You Produce Company</t>
  </si>
  <si>
    <t>Store 51, Adelaide Produce Markets</t>
  </si>
  <si>
    <t>James Plummer &amp; Walter Gallarello</t>
  </si>
  <si>
    <t>8349 6642</t>
  </si>
  <si>
    <t>8349 6524</t>
  </si>
  <si>
    <t>Cobbledick Bros Nominees</t>
  </si>
  <si>
    <t>Store 52, Adelaide Produce Markets</t>
  </si>
  <si>
    <t>Ken Cobbledick</t>
  </si>
  <si>
    <t>Ken</t>
  </si>
  <si>
    <t>8349 4786</t>
  </si>
  <si>
    <t>8359 0144</t>
  </si>
  <si>
    <t>Quality Lines</t>
  </si>
  <si>
    <t>Store 53, Adelaide Produce Markets</t>
  </si>
  <si>
    <t>Jon &amp; Con Lioulios</t>
  </si>
  <si>
    <t>8349 5065</t>
  </si>
  <si>
    <t>8349 4977</t>
  </si>
  <si>
    <t>R Ceravolo &amp; Co Pty Ltd</t>
  </si>
  <si>
    <t>PO Box 111</t>
  </si>
  <si>
    <t>Ashton</t>
  </si>
  <si>
    <t>Tony Ceravolo</t>
  </si>
  <si>
    <t>8349 4725</t>
  </si>
  <si>
    <t>8520 2888</t>
  </si>
  <si>
    <t>T C Luong Pty Ltd</t>
  </si>
  <si>
    <t>Store 56, Adelaide Produce Markets</t>
  </si>
  <si>
    <t>Charlie Luong</t>
  </si>
  <si>
    <t>Charlie</t>
  </si>
  <si>
    <t>8262 8779</t>
  </si>
  <si>
    <t>-</t>
  </si>
  <si>
    <t>United Fresh</t>
  </si>
  <si>
    <t>Store 57, Adelaide Produce Markets</t>
  </si>
  <si>
    <t>Nat Fazzari, Ross Virgara, Pas Foti</t>
  </si>
  <si>
    <t>8349 8933</t>
  </si>
  <si>
    <t>8349 8922</t>
  </si>
  <si>
    <t>Merenda Wholesalers Adelaide</t>
  </si>
  <si>
    <t>Store 58, Adelaide Produce Markets</t>
  </si>
  <si>
    <t>Grace Merenda</t>
  </si>
  <si>
    <t>SX50EE</t>
  </si>
  <si>
    <t>3:09 pm</t>
  </si>
  <si>
    <t>Harris Adelaide</t>
  </si>
  <si>
    <t>N/A</t>
  </si>
  <si>
    <t>14-Sep-2010</t>
  </si>
  <si>
    <t>11:39 am</t>
  </si>
  <si>
    <t>Mulgowie farming</t>
  </si>
  <si>
    <t>Woolworths Limited    w.a</t>
  </si>
  <si>
    <t>Grace</t>
  </si>
  <si>
    <t>8349 5056</t>
  </si>
  <si>
    <t>8349 5014</t>
  </si>
  <si>
    <t>Market Bag Supply</t>
  </si>
  <si>
    <t>3B Newcastle Cres</t>
  </si>
  <si>
    <t>Cavan</t>
  </si>
  <si>
    <t xml:space="preserve">SA </t>
  </si>
  <si>
    <t>Dean Maddock</t>
  </si>
  <si>
    <t>Dean</t>
  </si>
  <si>
    <t>8359 7366</t>
  </si>
  <si>
    <t>The Fruit &amp; Vegetables Growers Association of SA inc</t>
  </si>
  <si>
    <t>PO Box 1106</t>
  </si>
  <si>
    <t>Palmer Produce Management P/L</t>
  </si>
  <si>
    <t>Adelaide Produce Markets, Burma Road</t>
  </si>
  <si>
    <t>Paul Palmer</t>
  </si>
  <si>
    <t>8260 3866</t>
  </si>
  <si>
    <t>12:54 am</t>
  </si>
  <si>
    <t>Steve Bottom</t>
  </si>
  <si>
    <t>02-Jan-2012</t>
  </si>
  <si>
    <t>9:24 pm</t>
  </si>
  <si>
    <t>Auckland N.Z</t>
  </si>
  <si>
    <t>Coles Burton</t>
  </si>
  <si>
    <t>8260 7789</t>
  </si>
  <si>
    <t>Flavell Fruit Sales Pty Ltd</t>
  </si>
  <si>
    <t>PO Box 171</t>
  </si>
  <si>
    <t>Forest Range</t>
  </si>
  <si>
    <t>Glyndon Flavell</t>
  </si>
  <si>
    <t>Glyndon</t>
  </si>
  <si>
    <t>Banana Palm Fruiterers</t>
  </si>
  <si>
    <t>2A Basten Avenue</t>
  </si>
  <si>
    <t>Seaview Downs</t>
  </si>
  <si>
    <t>Giuseppe (Joe) Agostino</t>
  </si>
  <si>
    <t>J &amp; C Kafantaris</t>
  </si>
  <si>
    <t xml:space="preserve">Ingle Farm Fruit Market, Shop 17 &amp; 18, </t>
  </si>
  <si>
    <t>Ingle Farm</t>
  </si>
  <si>
    <t>Jim &amp; Chris Kafantaris</t>
  </si>
  <si>
    <t>Jim &amp; Chris</t>
  </si>
  <si>
    <t>8277 8653</t>
  </si>
  <si>
    <t>8241 5010</t>
  </si>
  <si>
    <t>Deep Cut Pty Ltd</t>
  </si>
  <si>
    <t>PO Box 86</t>
  </si>
  <si>
    <t>Hope Valley</t>
  </si>
  <si>
    <t>Joan &amp; Mostyn Rodda</t>
  </si>
  <si>
    <t>Joan &amp; Mostyn</t>
  </si>
  <si>
    <t>8337 1753</t>
  </si>
  <si>
    <t>8396 6115</t>
  </si>
  <si>
    <t>SRRS Nominees P/L &amp; Castro P/L</t>
  </si>
  <si>
    <t>MILDURA</t>
  </si>
  <si>
    <t>Vic</t>
  </si>
  <si>
    <t>Terry Meredith</t>
  </si>
  <si>
    <t>Terry</t>
  </si>
  <si>
    <t>03 5025 6492</t>
  </si>
  <si>
    <t>Castro Pty Ltd</t>
  </si>
  <si>
    <t>PO Box 1461</t>
  </si>
  <si>
    <t>Michael Castro</t>
  </si>
  <si>
    <t>Michael</t>
  </si>
  <si>
    <t>03 5024 6563</t>
  </si>
  <si>
    <t>03 5024 6769</t>
  </si>
  <si>
    <t>Fragrant Pears</t>
  </si>
  <si>
    <t>04.30am</t>
  </si>
  <si>
    <t>15-Dec-2012</t>
  </si>
  <si>
    <t>Freshwayz Pty Ltd - Qld</t>
  </si>
  <si>
    <t>This was cancelled as I found the certificates later.</t>
  </si>
  <si>
    <t>R &amp; B Rotolo Pty Ltd, Store 1, Adelaide Produce Markets, Pooraka SA, 5095</t>
  </si>
  <si>
    <t>stephen bottom</t>
  </si>
  <si>
    <t>06-Nov-2009</t>
  </si>
  <si>
    <t>11.55pm</t>
  </si>
  <si>
    <t>11:45 pm</t>
  </si>
  <si>
    <t>1</t>
  </si>
  <si>
    <t>Box</t>
  </si>
  <si>
    <t>Csi brisbane</t>
  </si>
  <si>
    <t>Four Seasons Fresh Produce</t>
  </si>
  <si>
    <t>Nectarines / Apricots</t>
  </si>
  <si>
    <t>8:50 pm</t>
  </si>
  <si>
    <t>harris Refrigerated transport Dry Creek.</t>
  </si>
  <si>
    <t>Wayne  Gregory</t>
  </si>
  <si>
    <t>08-Dec-2011</t>
  </si>
  <si>
    <t>one /one</t>
  </si>
  <si>
    <t>Carter&amp;spencer bris-mkts  sherwood. ROCKLEA QLD</t>
  </si>
  <si>
    <t>SARDI URRBRAE  SA</t>
  </si>
  <si>
    <t>C/- Warehouse H1, Adelaide Produce Markets Burma Road</t>
  </si>
  <si>
    <t>Steve Buttignol, MD</t>
  </si>
  <si>
    <t>Steve</t>
  </si>
  <si>
    <t>8349 5656</t>
  </si>
  <si>
    <t>8349 5520</t>
  </si>
  <si>
    <t>Southern Fresh Produce Pty Ltd</t>
  </si>
  <si>
    <t>C/- Eudunda Farmers Limited, SE 2, 26-30 The Parade West</t>
  </si>
  <si>
    <t>Kent Town</t>
  </si>
  <si>
    <t>George Koukos</t>
  </si>
  <si>
    <t>George</t>
  </si>
  <si>
    <t>8349 6503</t>
  </si>
  <si>
    <t>8349 4420</t>
  </si>
  <si>
    <t>Go Fresh Produce</t>
  </si>
  <si>
    <t>Warehouse J, Adelaide Produce Markets, Diagonal Road</t>
  </si>
  <si>
    <t>Guido Manzueto</t>
  </si>
  <si>
    <t>Guido</t>
  </si>
  <si>
    <t>8262 5955</t>
  </si>
  <si>
    <t>8262 5933</t>
  </si>
  <si>
    <t>M &amp; C Wholesale Fruit and Veg Supplies</t>
  </si>
  <si>
    <t xml:space="preserve">PO Box 287 </t>
  </si>
  <si>
    <t xml:space="preserve">PARKHOLME </t>
  </si>
  <si>
    <t>Mr Mark Brougham</t>
  </si>
  <si>
    <t>Mark</t>
  </si>
  <si>
    <t>8349 4407</t>
  </si>
  <si>
    <t>8349 7065</t>
  </si>
  <si>
    <t>Eco- Farms Pty Limited</t>
  </si>
  <si>
    <t>Po Box 74</t>
  </si>
  <si>
    <t>Mathew Hughes</t>
  </si>
  <si>
    <t>Mathew</t>
  </si>
  <si>
    <t>8260 4500</t>
  </si>
  <si>
    <t>8260 4511</t>
  </si>
  <si>
    <t>Independent Produce Suppliers</t>
  </si>
  <si>
    <t>Warehouse L, Adelaide Produce Markets, Burma Rd</t>
  </si>
  <si>
    <t>Frank Bueti</t>
  </si>
  <si>
    <t>Frank</t>
  </si>
  <si>
    <t>8262 7002</t>
  </si>
  <si>
    <t>8349 7129</t>
  </si>
  <si>
    <t>Don Turtur</t>
  </si>
  <si>
    <t>3 Old Well Road</t>
  </si>
  <si>
    <t>Klemzig</t>
  </si>
  <si>
    <t>Don</t>
  </si>
  <si>
    <t>8260 5728</t>
  </si>
  <si>
    <t>0417 868 902</t>
  </si>
  <si>
    <t xml:space="preserve">Thorndon Park Produce </t>
  </si>
  <si>
    <t>28 Stradbroke Road</t>
  </si>
  <si>
    <t>NEWTON</t>
  </si>
  <si>
    <t>9:40 pm</t>
  </si>
  <si>
    <t>Daniele De Ieso</t>
  </si>
  <si>
    <t>Danny</t>
  </si>
  <si>
    <t>8280 9722</t>
  </si>
  <si>
    <t>8280 9720</t>
  </si>
  <si>
    <t>Produce Carton and Bin Supplies</t>
  </si>
  <si>
    <t>14 Mersey Street</t>
  </si>
  <si>
    <t>CROYDON PARK</t>
  </si>
  <si>
    <t>Jim Strangio</t>
  </si>
  <si>
    <t>8346 8391</t>
  </si>
  <si>
    <t>8380 9330</t>
  </si>
  <si>
    <t>V &amp; G Pellicone</t>
  </si>
  <si>
    <t>Lot A/B Pt Wakefield Road</t>
  </si>
  <si>
    <t>WATERLOO CNR</t>
  </si>
  <si>
    <t xml:space="preserve">Vincenzo &amp; Giuseppa Pellicone </t>
  </si>
  <si>
    <t>Vincenzo &amp; Giuseppa</t>
  </si>
  <si>
    <t>8280 8143</t>
  </si>
  <si>
    <t>F &amp; J Bagnato</t>
  </si>
  <si>
    <t>PO Box 998</t>
  </si>
  <si>
    <t>VIRGINIA</t>
  </si>
  <si>
    <t>Frank Bagnato and Vince Bagnato</t>
  </si>
  <si>
    <t>Frank &amp; Vince</t>
  </si>
  <si>
    <t>8280 9957</t>
  </si>
  <si>
    <t>Leon and Marlene Glouftsis</t>
  </si>
  <si>
    <t>35 Caulfield Cresent</t>
  </si>
  <si>
    <t>PARALOWIE</t>
  </si>
  <si>
    <t>Leon Glouftsis</t>
  </si>
  <si>
    <t>Leon</t>
  </si>
  <si>
    <t>8281 3889</t>
  </si>
  <si>
    <t>Di Fava Farms P/ L</t>
  </si>
  <si>
    <t>Lot 1 Curnow Road</t>
  </si>
  <si>
    <t>Carmine and Sam Di Fava, Directors</t>
  </si>
  <si>
    <t>Carmine &amp; Sam</t>
  </si>
  <si>
    <t>8280 8127</t>
  </si>
  <si>
    <t>8280 5172</t>
  </si>
  <si>
    <t>TTH Do Produce</t>
  </si>
  <si>
    <t>16 Robinson Road</t>
  </si>
  <si>
    <t>Mr Lam Giang</t>
  </si>
  <si>
    <t>Lam</t>
  </si>
  <si>
    <t>8280 8223</t>
  </si>
  <si>
    <t>8280 6688</t>
  </si>
  <si>
    <t>Oanh Nguyen Fresh Produce</t>
  </si>
  <si>
    <t>43 St Kilda Road</t>
  </si>
  <si>
    <t>John Tran</t>
  </si>
  <si>
    <t>8280 9125</t>
  </si>
  <si>
    <t xml:space="preserve">SA Sprouts </t>
  </si>
  <si>
    <t>8 Blackburn Avenue</t>
  </si>
  <si>
    <t>COWANDILLA</t>
  </si>
  <si>
    <t>John Pandelis</t>
  </si>
  <si>
    <t>8444 7450</t>
  </si>
  <si>
    <t>R &amp; S Valente</t>
  </si>
  <si>
    <t>44 Lower Portrush Road</t>
  </si>
  <si>
    <t>MARDEN</t>
  </si>
  <si>
    <t>Raffaele and Susanna Valente</t>
  </si>
  <si>
    <t>Raffaele and Susanna</t>
  </si>
  <si>
    <t>8362 6100</t>
  </si>
  <si>
    <t>C. Nguyen Fresh Produce</t>
  </si>
  <si>
    <t>PO Box 918</t>
  </si>
  <si>
    <t>Charlie Nguyen</t>
  </si>
  <si>
    <t xml:space="preserve">8380 9312 </t>
  </si>
  <si>
    <t>8380 9312</t>
  </si>
  <si>
    <t>Smith Gully Orchards</t>
  </si>
  <si>
    <t>PO Box 94</t>
  </si>
  <si>
    <t>MONTACUTE</t>
  </si>
  <si>
    <t>Robert Smith</t>
  </si>
  <si>
    <t>Robert</t>
  </si>
  <si>
    <t>8390 2265</t>
  </si>
  <si>
    <t>B. Newman</t>
  </si>
  <si>
    <t>Newman Road</t>
  </si>
  <si>
    <t>CUDLEE CREEK</t>
  </si>
  <si>
    <t>Bruce</t>
  </si>
  <si>
    <t>8389 2267</t>
  </si>
  <si>
    <t>8389 2494</t>
  </si>
  <si>
    <t>Cons Choice Strawberries</t>
  </si>
  <si>
    <t>PO Box 459</t>
  </si>
  <si>
    <t xml:space="preserve">Arthur, Leon &amp; Evthoxia Mylonopoulos </t>
  </si>
  <si>
    <t>Arthur, Leon &amp; Evthoxia</t>
  </si>
  <si>
    <t>Arharidis Brothers Pty Ltd</t>
  </si>
  <si>
    <t>PO Box 80</t>
  </si>
  <si>
    <t>Terry Arharidis</t>
  </si>
  <si>
    <t>8380 9882</t>
  </si>
  <si>
    <t>A-T-Bui</t>
  </si>
  <si>
    <t>Lot 17, Robinson Road</t>
  </si>
  <si>
    <t>Tuan Anh Bui</t>
  </si>
  <si>
    <t>Tony and Brothers Fresh Produce</t>
  </si>
  <si>
    <t>PO Box 394</t>
  </si>
  <si>
    <t>Tony Huynh</t>
  </si>
  <si>
    <t>8380 9508</t>
  </si>
  <si>
    <t>Covino Farm Fresh Foods</t>
  </si>
  <si>
    <t>12 St Kilda Road</t>
  </si>
  <si>
    <t>Claude Covino</t>
  </si>
  <si>
    <t>Claude</t>
  </si>
  <si>
    <t>8280 8482</t>
  </si>
  <si>
    <t>C &amp; M Kalkanis</t>
  </si>
  <si>
    <t>PO Box 73</t>
  </si>
  <si>
    <t>Chris Kalkanis</t>
  </si>
  <si>
    <t>Chris</t>
  </si>
  <si>
    <t>SX76DY</t>
  </si>
  <si>
    <t>12:07 am</t>
  </si>
  <si>
    <t>12:57 am</t>
  </si>
  <si>
    <t>Scalzi Produce Pty Ltd, Store 48, Adelaide Produce Markets, Pooraka SA, 5095</t>
  </si>
  <si>
    <t>29-May-2012</t>
  </si>
  <si>
    <t>9:27 pm</t>
  </si>
  <si>
    <t>Favco mrk</t>
  </si>
  <si>
    <t>POORAKA MRKS</t>
  </si>
  <si>
    <t>JOHN</t>
  </si>
  <si>
    <t>8:37 pm</t>
  </si>
  <si>
    <t>657</t>
  </si>
  <si>
    <t>CaRTER/SPENCER</t>
  </si>
  <si>
    <t>MONDELLO</t>
  </si>
  <si>
    <t>8380 9689</t>
  </si>
  <si>
    <t>P'Petual Holdings</t>
  </si>
  <si>
    <t>PO Box 951</t>
  </si>
  <si>
    <t>Ashley Schrader, Packing Manager</t>
  </si>
  <si>
    <t>Ashley</t>
  </si>
  <si>
    <t>08 8380 8609</t>
  </si>
  <si>
    <t>V.S.L. Produce</t>
  </si>
  <si>
    <t>PO Box 330</t>
  </si>
  <si>
    <t>WX37A0</t>
  </si>
  <si>
    <t>12:35 am</t>
  </si>
  <si>
    <t>Arthur Johnston</t>
  </si>
  <si>
    <t>29-Dec-2012</t>
  </si>
  <si>
    <t>9:05 pm</t>
  </si>
  <si>
    <t>Loose</t>
  </si>
  <si>
    <t>Dewdrop Fresh</t>
  </si>
  <si>
    <t>12:38 am</t>
  </si>
  <si>
    <t>9:08 pm</t>
  </si>
  <si>
    <t>12:40 am</t>
  </si>
  <si>
    <t>9:10 pm</t>
  </si>
  <si>
    <t>156</t>
  </si>
  <si>
    <t>Dewdrop Frresh</t>
  </si>
  <si>
    <t>Coles SA</t>
  </si>
  <si>
    <t>Minh Son Ly &amp; Minh Vu Ly and Thi Phuong Dung Huynh</t>
  </si>
  <si>
    <t>8280 6293</t>
  </si>
  <si>
    <t>Nerrigundah</t>
  </si>
  <si>
    <t>13 Merino Court</t>
  </si>
  <si>
    <t>LOBETHAL</t>
  </si>
  <si>
    <t>Brian Mason</t>
  </si>
  <si>
    <t>Brian</t>
  </si>
  <si>
    <t>8389 5557</t>
  </si>
  <si>
    <t>Harrisville Orchards</t>
  </si>
  <si>
    <t>Harris Road</t>
  </si>
  <si>
    <t>LENSWOOD</t>
  </si>
  <si>
    <t>Brian Harris and Craig Harris</t>
  </si>
  <si>
    <t>Brian &amp; Craig</t>
  </si>
  <si>
    <t>8389 8267</t>
  </si>
  <si>
    <t>8389 8199</t>
  </si>
  <si>
    <t>TTD Le</t>
  </si>
  <si>
    <t>TNR195</t>
  </si>
  <si>
    <t>1:10 am</t>
  </si>
  <si>
    <t>david mckitterick</t>
  </si>
  <si>
    <t>10-Oct-2011</t>
  </si>
  <si>
    <t>9:34 pm</t>
  </si>
  <si>
    <t>1x72 loose</t>
  </si>
  <si>
    <t>Freshwayz pty l</t>
  </si>
  <si>
    <t>PO Box 735</t>
  </si>
  <si>
    <t>Dinh Lang Nguyen and Thi Dai Trang Le</t>
  </si>
  <si>
    <t>8359 4334</t>
  </si>
  <si>
    <t>Appelina Hills</t>
  </si>
  <si>
    <t xml:space="preserve">PO Box 169, </t>
  </si>
  <si>
    <t>FOREST RANGE</t>
  </si>
  <si>
    <t>Roger Schultz</t>
  </si>
  <si>
    <t>Roger</t>
  </si>
  <si>
    <t>8389 8413</t>
  </si>
  <si>
    <t>Laftsis Fresh Produce</t>
  </si>
  <si>
    <t>PO Box 736</t>
  </si>
  <si>
    <t>Dimitrios and Con Laftsis</t>
  </si>
  <si>
    <t>Dimitrios &amp; Con</t>
  </si>
  <si>
    <t xml:space="preserve">8380 9219   </t>
  </si>
  <si>
    <t>8380 9219</t>
  </si>
  <si>
    <t>V &amp; P Kambisios</t>
  </si>
  <si>
    <t>PO Box 453</t>
  </si>
  <si>
    <t>WAIKERIE</t>
  </si>
  <si>
    <t xml:space="preserve">Vasilios Kambisios </t>
  </si>
  <si>
    <t>Vasilios</t>
  </si>
  <si>
    <t>8541 2976</t>
  </si>
  <si>
    <t>5:09 pm</t>
  </si>
  <si>
    <t>Being Returned</t>
  </si>
  <si>
    <t>25-Mar-2010</t>
  </si>
  <si>
    <t>1:39 pm</t>
  </si>
  <si>
    <t>166</t>
  </si>
  <si>
    <t>Larapinta, K. Quan Nominees</t>
  </si>
  <si>
    <t>K.Quan Virginia</t>
  </si>
  <si>
    <t>Pooraka mrk</t>
  </si>
  <si>
    <t>Tsing Cherry Tomatoes and Veggies On The Run</t>
  </si>
  <si>
    <t xml:space="preserve">PO Box 661 </t>
  </si>
  <si>
    <t>Paul Yafantidis</t>
  </si>
  <si>
    <t>8380 9704</t>
  </si>
  <si>
    <t>M &amp; B Flowers</t>
  </si>
  <si>
    <t>13-15 Dawkins Road</t>
  </si>
  <si>
    <t>TWO WELLS</t>
  </si>
  <si>
    <t>Frank Maiolo</t>
  </si>
  <si>
    <t xml:space="preserve">Frank  </t>
  </si>
  <si>
    <t>8520 2204</t>
  </si>
  <si>
    <t>E &amp; SV Parletta</t>
  </si>
  <si>
    <t>30 Antares Way</t>
  </si>
  <si>
    <t>ATHELSTONE</t>
  </si>
  <si>
    <t>Eric and Sonia Parletta</t>
  </si>
  <si>
    <t>Eric &amp; Sonia</t>
  </si>
  <si>
    <t>8337 1561</t>
  </si>
  <si>
    <t>G J Coulls Fresh Produce</t>
  </si>
  <si>
    <t>Gavin and Samantha Coulls</t>
  </si>
  <si>
    <t>Gavin &amp; Samantha</t>
  </si>
  <si>
    <t>Fosters Herbs</t>
  </si>
  <si>
    <t>PO Box 623</t>
  </si>
  <si>
    <t>Robert and Susan Foster</t>
  </si>
  <si>
    <t>Robert &amp; Susan</t>
  </si>
  <si>
    <t>8380 9247</t>
  </si>
  <si>
    <t>SX87DY</t>
  </si>
  <si>
    <t>12:02 am</t>
  </si>
  <si>
    <t>8:32 pm</t>
  </si>
  <si>
    <t>SX41EK</t>
  </si>
  <si>
    <t>6:31 pm</t>
  </si>
  <si>
    <t>Wayne</t>
  </si>
  <si>
    <t>17-Jan-2012</t>
  </si>
  <si>
    <t>3:01 pm</t>
  </si>
  <si>
    <t>100</t>
  </si>
  <si>
    <t>CSI Brisbane</t>
  </si>
  <si>
    <t>W.Aust</t>
  </si>
  <si>
    <t>FC and JM Balestrin</t>
  </si>
  <si>
    <t>4 Koonunga Avenue</t>
  </si>
  <si>
    <t>ROSTREVOR</t>
  </si>
  <si>
    <t xml:space="preserve">Fred Balestrin </t>
  </si>
  <si>
    <t>Fred</t>
  </si>
  <si>
    <t>8337 2329</t>
  </si>
  <si>
    <t>E &amp; E Albanese</t>
  </si>
  <si>
    <t>14 Lipson Reach Road</t>
  </si>
  <si>
    <t>GULFVIEW HEIGHTS</t>
  </si>
  <si>
    <t>Enrico and Emilia Albanese</t>
  </si>
  <si>
    <t>Enrico &amp; Emilia</t>
  </si>
  <si>
    <t>8258 8150</t>
  </si>
  <si>
    <t>J &amp; P Balestrin</t>
  </si>
  <si>
    <t>20 Clement Road</t>
  </si>
  <si>
    <t>Turner's Refrigerated Transport Services</t>
  </si>
  <si>
    <t>194JLO</t>
  </si>
  <si>
    <t>9:17 pm</t>
  </si>
  <si>
    <t>stevphen allen</t>
  </si>
  <si>
    <t>11-Sep-2011</t>
  </si>
  <si>
    <t>5:46 pm</t>
  </si>
  <si>
    <t>458</t>
  </si>
  <si>
    <t>RT&amp;BF Turner</t>
  </si>
  <si>
    <t>John Balestrin</t>
  </si>
  <si>
    <t>8280 8325</t>
  </si>
  <si>
    <t>8280 8725</t>
  </si>
  <si>
    <t>Le Vivn Enterprise</t>
  </si>
  <si>
    <t xml:space="preserve">PO Box 991 </t>
  </si>
  <si>
    <t xml:space="preserve">SALISBURY </t>
  </si>
  <si>
    <t>7:48 pm</t>
  </si>
  <si>
    <t>Harris drycreek  Ceduna Quarantine station</t>
  </si>
  <si>
    <t>Harris To W.A</t>
  </si>
  <si>
    <t>26-Mar-2011</t>
  </si>
  <si>
    <t>4:18 pm</t>
  </si>
  <si>
    <t>pallet</t>
  </si>
  <si>
    <t>Tropico rruit Mykree</t>
  </si>
  <si>
    <t>Spring food WA</t>
  </si>
  <si>
    <t>Phan Thi Le (Holly)</t>
  </si>
  <si>
    <t>8252 0581</t>
  </si>
  <si>
    <t>8284 9090</t>
  </si>
  <si>
    <t>Piscioneri Bros</t>
  </si>
  <si>
    <t>PO Box 928</t>
  </si>
  <si>
    <t>Claudio and Larry Piscioneri</t>
  </si>
  <si>
    <t>Claudio &amp; Larry</t>
  </si>
  <si>
    <t>8280 5555</t>
  </si>
  <si>
    <t>8280 5577</t>
  </si>
  <si>
    <t>A.A. Magarey &amp; Sons</t>
  </si>
  <si>
    <t>40 Magarey Road</t>
  </si>
  <si>
    <t>COROMANDEL VALLEY</t>
  </si>
  <si>
    <t>Roger,Hugh, Andrew &amp; John Magarey</t>
  </si>
  <si>
    <t>8278 3692</t>
  </si>
  <si>
    <t>Gilmours Orchards</t>
  </si>
  <si>
    <t>RSD520 Paracombe Road</t>
  </si>
  <si>
    <t>PARACOMBE</t>
  </si>
  <si>
    <t xml:space="preserve">Melvyn Gilmour </t>
  </si>
  <si>
    <t>Melvyn</t>
  </si>
  <si>
    <t>8380 5164</t>
  </si>
  <si>
    <t>8380 5165</t>
  </si>
  <si>
    <t>Item Quantity</t>
  </si>
  <si>
    <t>Item Packaging</t>
  </si>
  <si>
    <t>Item Description</t>
  </si>
  <si>
    <t>Item Origin</t>
  </si>
  <si>
    <t>Cartons</t>
  </si>
  <si>
    <t>Crates</t>
  </si>
  <si>
    <t>Boxes</t>
  </si>
  <si>
    <t>Bags</t>
  </si>
  <si>
    <t>1/4 Bins</t>
  </si>
  <si>
    <t>1/3 Bins</t>
  </si>
  <si>
    <t>1/2 Bins</t>
  </si>
  <si>
    <t>Full Bins</t>
  </si>
  <si>
    <t>Trays</t>
  </si>
  <si>
    <t>Styro</t>
  </si>
  <si>
    <t>Produce</t>
  </si>
  <si>
    <t>Apples</t>
  </si>
  <si>
    <t>Oranges</t>
  </si>
  <si>
    <t>Bananas</t>
  </si>
  <si>
    <t>Limes</t>
  </si>
  <si>
    <t>Lemons</t>
  </si>
  <si>
    <t>Onions</t>
  </si>
  <si>
    <t>Potatoes</t>
  </si>
  <si>
    <t>Watermelons</t>
  </si>
  <si>
    <t>Honey Dew Melons</t>
  </si>
  <si>
    <t>Rock Melons</t>
  </si>
  <si>
    <t>Strawberries</t>
  </si>
  <si>
    <t>Blackberries</t>
  </si>
  <si>
    <t>Blueberries</t>
  </si>
  <si>
    <t>Raspberries</t>
  </si>
  <si>
    <t>Kiwi Fruit</t>
  </si>
  <si>
    <t>Carambola</t>
  </si>
  <si>
    <t>Rambutans</t>
  </si>
  <si>
    <t>Pears</t>
  </si>
  <si>
    <t>Capsicum</t>
  </si>
  <si>
    <t>Passionfruit</t>
  </si>
  <si>
    <t>Zucchini</t>
  </si>
  <si>
    <t>Mandarins</t>
  </si>
  <si>
    <t>Pumpkins</t>
  </si>
  <si>
    <t>Eschalots</t>
  </si>
  <si>
    <t>Chillies</t>
  </si>
  <si>
    <t>Courgettes</t>
  </si>
  <si>
    <t>Squash</t>
  </si>
  <si>
    <t>Cucumbers</t>
  </si>
  <si>
    <t>Plants</t>
  </si>
  <si>
    <t>Hay</t>
  </si>
  <si>
    <t>22-Jan-2013</t>
  </si>
  <si>
    <t>11:27 am</t>
  </si>
  <si>
    <t>123</t>
  </si>
  <si>
    <t>Arthur 8280 9072</t>
  </si>
  <si>
    <t xml:space="preserve">Packing shed 8380 9971 </t>
  </si>
  <si>
    <t>Avocados</t>
  </si>
  <si>
    <t>Casimiroa (White Sapote)</t>
  </si>
  <si>
    <t>Chinese Gooseberry</t>
  </si>
  <si>
    <t>Custard Apples</t>
  </si>
  <si>
    <t>Durian</t>
  </si>
  <si>
    <t>Eggplant</t>
  </si>
  <si>
    <t>Feijoa</t>
  </si>
  <si>
    <t>Figs</t>
  </si>
  <si>
    <t>Gourd</t>
  </si>
  <si>
    <t>Grapes</t>
  </si>
  <si>
    <t>Guava</t>
  </si>
  <si>
    <t>Jackfruit</t>
  </si>
  <si>
    <t>Loofa</t>
  </si>
  <si>
    <t>Lychees</t>
  </si>
  <si>
    <t>Lupins</t>
  </si>
  <si>
    <t>SX83R</t>
  </si>
  <si>
    <t>12-Dec-2011</t>
  </si>
  <si>
    <t>Holeman freash</t>
  </si>
  <si>
    <t>SArdi urrbrae</t>
  </si>
  <si>
    <t>Loquats</t>
  </si>
  <si>
    <t>Longans</t>
  </si>
  <si>
    <t>Okra</t>
  </si>
  <si>
    <t>Hay/Pasture Fodder</t>
  </si>
  <si>
    <t>Persimmons</t>
  </si>
  <si>
    <t>Paw Paws</t>
  </si>
  <si>
    <t>Pome Fruits</t>
  </si>
  <si>
    <t>Prickly Pears</t>
  </si>
  <si>
    <t>Melons</t>
  </si>
  <si>
    <t>Sapote</t>
  </si>
  <si>
    <t>Star Fruit</t>
  </si>
  <si>
    <t>Tamarillo</t>
  </si>
  <si>
    <t>Tomatoes</t>
  </si>
  <si>
    <t>Grape Tomatoes</t>
  </si>
  <si>
    <t>Cherry Tomatoes</t>
  </si>
  <si>
    <t>Scalzi Produce Pty Ltd</t>
  </si>
  <si>
    <t>Contact Details</t>
  </si>
  <si>
    <t>Adelaide Produce Market Inspection Staff  08 8349 8322</t>
  </si>
  <si>
    <t>Plant Health Operations Inspection Staff  1300 666 010</t>
  </si>
  <si>
    <t>SX78EC</t>
  </si>
  <si>
    <t>paul</t>
  </si>
  <si>
    <t>Gatton</t>
  </si>
  <si>
    <t>Reasons for placing into Quarantine:</t>
  </si>
  <si>
    <t>Steves Organics - Wholesaler For Organic Fruit/Veg &amp; Dry Goods</t>
  </si>
  <si>
    <t>16 Diagonal Road</t>
  </si>
  <si>
    <t>(08) 8359 7700</t>
  </si>
  <si>
    <t>(08) 8359 7711</t>
  </si>
  <si>
    <t>SX21EG</t>
  </si>
  <si>
    <t>7:56 pm</t>
  </si>
  <si>
    <t>BURTON RD  BURTON</t>
  </si>
  <si>
    <t>DAVE GILL</t>
  </si>
  <si>
    <t>5:45 pm</t>
  </si>
  <si>
    <t>Go Directly to Destination C/ Harris Transport</t>
  </si>
  <si>
    <t>Jimmy Hamlton</t>
  </si>
  <si>
    <t>16-Sep-2012</t>
  </si>
  <si>
    <t>2:15 pm</t>
  </si>
  <si>
    <t>5</t>
  </si>
  <si>
    <t>J D  Berries</t>
  </si>
  <si>
    <t>C/ Spring G ullY Food</t>
  </si>
  <si>
    <t>WX75AR</t>
  </si>
  <si>
    <t>5:55 pm</t>
  </si>
  <si>
    <t>Perer Bukett</t>
  </si>
  <si>
    <t>2:25 pm</t>
  </si>
  <si>
    <t>Pinata marketing   Wamuran</t>
  </si>
  <si>
    <t>01-Dec-2009</t>
  </si>
  <si>
    <t>4:26 pm</t>
  </si>
  <si>
    <t>3</t>
  </si>
  <si>
    <t>Bins</t>
  </si>
  <si>
    <t>Jh leavy  BRISBANE MKTS</t>
  </si>
  <si>
    <t>James altmann  LOXTON EAST 5333</t>
  </si>
  <si>
    <t>8:07 pm</t>
  </si>
  <si>
    <t>BURTON RD BURTON</t>
  </si>
  <si>
    <t>4:37 pm</t>
  </si>
  <si>
    <t>72    72</t>
  </si>
  <si>
    <t>BrISBANE MKTS</t>
  </si>
  <si>
    <t>MCN VEG W-SALERS WATERLOO CORNER</t>
  </si>
  <si>
    <t>Sign Off Inspector</t>
  </si>
  <si>
    <t>OIL40</t>
  </si>
  <si>
    <t>0300hrs</t>
  </si>
  <si>
    <t>SA CRATE UNLOADING SERVICE. POORAKA.</t>
  </si>
  <si>
    <t>Peter Kerry</t>
  </si>
  <si>
    <t>16-Dec-2009</t>
  </si>
  <si>
    <t>11:11 pm</t>
  </si>
  <si>
    <t>180 x5kg</t>
  </si>
  <si>
    <t>Emerald qld 4720</t>
  </si>
  <si>
    <t>Tony Russot</t>
  </si>
  <si>
    <t>Sign Off Date</t>
  </si>
  <si>
    <t>Item Destination</t>
  </si>
  <si>
    <t>Papaya</t>
  </si>
  <si>
    <t>Red Papaya</t>
  </si>
  <si>
    <t>Papyrus</t>
  </si>
  <si>
    <t>Section 43, Plant Health Act 2009</t>
  </si>
  <si>
    <t>TradingName</t>
  </si>
  <si>
    <t>Street_Address</t>
  </si>
  <si>
    <t>City</t>
  </si>
  <si>
    <t>IP</t>
  </si>
  <si>
    <t>A and N Fontanini</t>
  </si>
  <si>
    <t>RMB 313 Seven Day Rd</t>
  </si>
  <si>
    <t>Manjimup</t>
  </si>
  <si>
    <t>W0110-01</t>
  </si>
  <si>
    <t>A Giumelli and Sons Pty Ltd</t>
  </si>
  <si>
    <t>680 Canning Rd</t>
  </si>
  <si>
    <t>Carmel</t>
  </si>
  <si>
    <t>W0036-01</t>
  </si>
  <si>
    <t>AD, RA &amp; JA Mathews</t>
  </si>
  <si>
    <t>Channybearup Rd</t>
  </si>
  <si>
    <t>Pemberton</t>
  </si>
  <si>
    <t>W0105-01</t>
  </si>
  <si>
    <t>Advance Packing &amp; Marketing</t>
  </si>
  <si>
    <t>Ralston Road</t>
  </si>
  <si>
    <t>W0436-01</t>
  </si>
  <si>
    <t>AH BA Taylor</t>
  </si>
  <si>
    <t>144 Pead Road</t>
  </si>
  <si>
    <t>Myalup</t>
  </si>
  <si>
    <t>W0601-01</t>
  </si>
  <si>
    <t>Alban Coolstores</t>
  </si>
  <si>
    <t>RMB 324 Seven Day Rd</t>
  </si>
  <si>
    <t>W0097-01</t>
  </si>
  <si>
    <t>Applewood Orchard</t>
  </si>
  <si>
    <t>Lot 99 Ipsen St</t>
  </si>
  <si>
    <t>W0013-01</t>
  </si>
  <si>
    <t>Avoland Pty Ltd</t>
  </si>
  <si>
    <t>546 Ewart Rd</t>
  </si>
  <si>
    <t>Cundinup</t>
  </si>
  <si>
    <t>4:07 pm</t>
  </si>
  <si>
    <t>Zzz Alesandro Zizzo, Store 37 Apml Diagonal Road,  ,</t>
  </si>
  <si>
    <t>john.h</t>
  </si>
  <si>
    <t>30-Sep-2009</t>
  </si>
  <si>
    <t>12:36 pm</t>
  </si>
  <si>
    <t>Leavy</t>
  </si>
  <si>
    <t>W0240-01</t>
  </si>
  <si>
    <t>Avonova</t>
  </si>
  <si>
    <t>8178 Old Vasse Rd</t>
  </si>
  <si>
    <t>W0237-01</t>
  </si>
  <si>
    <t>Avowest</t>
  </si>
  <si>
    <t>85 Carabooda Rd</t>
  </si>
  <si>
    <t>Carabooda</t>
  </si>
  <si>
    <t>W0234-01</t>
  </si>
  <si>
    <t>Avwan</t>
  </si>
  <si>
    <t>211 Carabooda Rd</t>
  </si>
  <si>
    <t>W0027-01</t>
  </si>
  <si>
    <t>B Martella and Sons</t>
  </si>
  <si>
    <t>Santa Rita, 439 Kirup / Grimwade Rd</t>
  </si>
  <si>
    <t>Kirup</t>
  </si>
  <si>
    <t>W0030-01</t>
  </si>
  <si>
    <t>Benara Carabooda</t>
  </si>
  <si>
    <t>Lot 1000 Safari Place</t>
  </si>
  <si>
    <t>W0004-02</t>
  </si>
  <si>
    <t>8:04 pm</t>
  </si>
  <si>
    <t>wayne b</t>
  </si>
  <si>
    <t>13-Feb-2013</t>
  </si>
  <si>
    <t>4:33 pm</t>
  </si>
  <si>
    <t>plts</t>
  </si>
  <si>
    <t>Rockea</t>
  </si>
  <si>
    <t>Berry Sweet Strawberry Farm</t>
  </si>
  <si>
    <t>Lot 90 Davidson St</t>
  </si>
  <si>
    <t>Bullsbrook</t>
  </si>
  <si>
    <t>W0205-01</t>
  </si>
  <si>
    <t>Bogdanich Farms</t>
  </si>
  <si>
    <t>Lot 402 Gingin Brook Road</t>
  </si>
  <si>
    <t>Neergabby</t>
  </si>
  <si>
    <t>W0263-01</t>
  </si>
  <si>
    <t>Brookvale Nominees Pty Ltd</t>
  </si>
  <si>
    <t>308 Payne Road</t>
  </si>
  <si>
    <t>Busselton</t>
  </si>
  <si>
    <t>W0160-01</t>
  </si>
  <si>
    <t>C Borg and Son</t>
  </si>
  <si>
    <t>102 Lyster Rd</t>
  </si>
  <si>
    <t>Jarrahdale</t>
  </si>
  <si>
    <t>W0047-01</t>
  </si>
  <si>
    <t>C.P &amp; J.R Jones</t>
  </si>
  <si>
    <t>11:46 pm</t>
  </si>
  <si>
    <t>8:16 pm</t>
  </si>
  <si>
    <t>Lot 11055 Channybearup Road</t>
  </si>
  <si>
    <t>W0587-01</t>
  </si>
  <si>
    <t>Capel Farms</t>
  </si>
  <si>
    <t>Lot 218 Hansen Rd</t>
  </si>
  <si>
    <t>Capel</t>
  </si>
  <si>
    <t>W0164-01</t>
  </si>
  <si>
    <t>Capel Fruit Co</t>
  </si>
  <si>
    <t>LOC 675 Bussel Highway</t>
  </si>
  <si>
    <t>Stratham</t>
  </si>
  <si>
    <t>W0057-01</t>
  </si>
  <si>
    <t>Chan Bros</t>
  </si>
  <si>
    <t>408 Wattleup Rd</t>
  </si>
  <si>
    <t>Wattleup</t>
  </si>
  <si>
    <t>W0139-01</t>
  </si>
  <si>
    <t>Choice Strawberries</t>
  </si>
  <si>
    <t>181 Carabooda Road</t>
  </si>
  <si>
    <t>W0204-01</t>
  </si>
  <si>
    <t>Collins Bros</t>
  </si>
  <si>
    <t>John Halliday</t>
  </si>
  <si>
    <t>24</t>
  </si>
  <si>
    <t>Collins Siding Vasse hwy</t>
  </si>
  <si>
    <t>W0006-01</t>
  </si>
  <si>
    <t>Combined Horse Transport</t>
  </si>
  <si>
    <t>245 Keenan St</t>
  </si>
  <si>
    <t>Wungong</t>
  </si>
  <si>
    <t>W0173-01</t>
  </si>
  <si>
    <t>D and D Favero</t>
  </si>
  <si>
    <t>Nelson Loc 11342 Packer Rd</t>
  </si>
  <si>
    <t>W0040-01</t>
  </si>
  <si>
    <t>QV08XC</t>
  </si>
  <si>
    <t>10:24 pm</t>
  </si>
  <si>
    <t>GRAMEM</t>
  </si>
  <si>
    <t>22-Jan-2012</t>
  </si>
  <si>
    <t>6:54 pm</t>
  </si>
  <si>
    <t>25</t>
  </si>
  <si>
    <t>WoOLWORTHS</t>
  </si>
  <si>
    <t>D and D Roche and Son</t>
  </si>
  <si>
    <t>Roche Rd</t>
  </si>
  <si>
    <t>W0024-01</t>
  </si>
  <si>
    <t>David &amp; Janet Haynes</t>
  </si>
  <si>
    <t>Lot 88 Nelson Loc. 7218 Vasse Hwy</t>
  </si>
  <si>
    <t>Peerabeelup</t>
  </si>
  <si>
    <t>W0588-01</t>
  </si>
  <si>
    <t>Delroy Orchards</t>
  </si>
  <si>
    <t>2 Froomes Rd</t>
  </si>
  <si>
    <t>W0228-01</t>
  </si>
  <si>
    <t>Donnybrook Packing Company</t>
  </si>
  <si>
    <t>Lot 606 Collins St</t>
  </si>
  <si>
    <t>Donnybrook</t>
  </si>
  <si>
    <t>W0035-01</t>
  </si>
  <si>
    <t>Duc  &amp; Sinh Nguyen</t>
  </si>
  <si>
    <t>Lot 15 Mullewa Road</t>
  </si>
  <si>
    <t>Geraldton</t>
  </si>
  <si>
    <t>W0603-01</t>
  </si>
  <si>
    <t>Edwards Farm P/L</t>
  </si>
  <si>
    <t>Lot 1 Graphite Road</t>
  </si>
  <si>
    <t>W0584-01</t>
  </si>
  <si>
    <t>Empro</t>
  </si>
  <si>
    <t>Unit 2A 280 Bannister Road</t>
  </si>
  <si>
    <t>Canning Vale</t>
  </si>
  <si>
    <t>W0211-01</t>
  </si>
  <si>
    <t>EPT Sales</t>
  </si>
  <si>
    <t>CTA Market City, 280 Bannister Rd</t>
  </si>
  <si>
    <t>W0143-01</t>
  </si>
  <si>
    <t>Erceg Holdings P/L</t>
  </si>
  <si>
    <t>131Pickering Brook Rd</t>
  </si>
  <si>
    <t>Pickering Brook</t>
  </si>
  <si>
    <t>W0231-01</t>
  </si>
  <si>
    <t>Erceg Holdings Pty Ltd</t>
  </si>
  <si>
    <t>95 Pickering  Brook Rd</t>
  </si>
  <si>
    <t>W0007-03</t>
  </si>
  <si>
    <t>18245 South Western Hwy</t>
  </si>
  <si>
    <t>W0007-04</t>
  </si>
  <si>
    <t>Etherington</t>
  </si>
  <si>
    <t>Market City, 280 Bannister Road</t>
  </si>
  <si>
    <t>W0259-01</t>
  </si>
  <si>
    <t>Floraco Pty Ltd</t>
  </si>
  <si>
    <t>25 Kensington St</t>
  </si>
  <si>
    <t>East Perth</t>
  </si>
  <si>
    <t>W0059-02</t>
  </si>
  <si>
    <t>Flying Flowers</t>
  </si>
  <si>
    <t>3A Sleeman Close</t>
  </si>
  <si>
    <t>O'Connor</t>
  </si>
  <si>
    <t>W0324-01</t>
  </si>
  <si>
    <t>SX11EK</t>
  </si>
  <si>
    <t>12:27 am</t>
  </si>
  <si>
    <t>D &amp; G Fresh Fruit Distributors, Store 16, Adelaide Produce Markets, Pooraka SA, 5095</t>
  </si>
  <si>
    <t>31-Oct-2011</t>
  </si>
  <si>
    <t>288</t>
  </si>
  <si>
    <t>Mulgowie farms</t>
  </si>
  <si>
    <t>Fonty's Pool Farm</t>
  </si>
  <si>
    <t>Loc 2713 Seven Day Rd</t>
  </si>
  <si>
    <t>W0241-01</t>
  </si>
  <si>
    <t>French's Group 89 P/L</t>
  </si>
  <si>
    <t>Loc 10060 Channybearup Road</t>
  </si>
  <si>
    <t>West Pemberton</t>
  </si>
  <si>
    <t>W0589-01</t>
  </si>
  <si>
    <t>Fresh Express</t>
  </si>
  <si>
    <t>Market City Warehouse E4, Door 4 280 Bannister Road</t>
  </si>
  <si>
    <t>W0179-01</t>
  </si>
  <si>
    <t>Fruitlands Company</t>
  </si>
  <si>
    <t>957 Jarrahdale Rd</t>
  </si>
  <si>
    <t>W0124-01</t>
  </si>
  <si>
    <t>Futari Grain Technology Services</t>
  </si>
  <si>
    <t>34 Francis St</t>
  </si>
  <si>
    <t>Narrabri  Nsw</t>
  </si>
  <si>
    <t>W1015-01</t>
  </si>
  <si>
    <t>G and K Nicolaou and Son</t>
  </si>
  <si>
    <t>Nelson Loc. 12089  Mitchelldean Road</t>
  </si>
  <si>
    <t>W0165-01</t>
  </si>
  <si>
    <t>Galwey Horticultural</t>
  </si>
  <si>
    <t>Great Northern Hwy</t>
  </si>
  <si>
    <t>Broome</t>
  </si>
  <si>
    <t>W0582-01</t>
  </si>
  <si>
    <t>Gascoyne Gold Pty Ltd</t>
  </si>
  <si>
    <t>199 North West Coastal Hwy</t>
  </si>
  <si>
    <t>7:37 pm</t>
  </si>
  <si>
    <t>craig</t>
  </si>
  <si>
    <t>07-Oct-2012</t>
  </si>
  <si>
    <t>pre pack</t>
  </si>
  <si>
    <t>Ccoles</t>
  </si>
  <si>
    <t>sx12ek</t>
  </si>
  <si>
    <t>4:12 pm</t>
  </si>
  <si>
    <t>216</t>
  </si>
  <si>
    <t>packs</t>
  </si>
  <si>
    <t>Carnarvon</t>
  </si>
  <si>
    <t>W0066-01</t>
  </si>
  <si>
    <t>Gascoyne Organic Biodynamic Farms</t>
  </si>
  <si>
    <t>17 North River Road</t>
  </si>
  <si>
    <t>W0108-01</t>
  </si>
  <si>
    <t>Golden Mile Coolstore and Transport</t>
  </si>
  <si>
    <t>Collins St</t>
  </si>
  <si>
    <t>W0015-01</t>
  </si>
  <si>
    <t>Golden Mile Orchards Pty Ltd</t>
  </si>
  <si>
    <t>Loc 873 Sth West Hwy</t>
  </si>
  <si>
    <t>W0015-02</t>
  </si>
  <si>
    <t>Grasstrees Australia</t>
  </si>
  <si>
    <t>670 Welshpool Rd East</t>
  </si>
  <si>
    <t>Wattle Grove</t>
  </si>
  <si>
    <t>W0058-01</t>
  </si>
  <si>
    <t>Hais Produce</t>
  </si>
  <si>
    <t>171 Elliot Road</t>
  </si>
  <si>
    <t>Wanneroo</t>
  </si>
  <si>
    <t>W0262-01</t>
  </si>
  <si>
    <t>Handasyde Strawberries Albany</t>
  </si>
  <si>
    <t>154 Greatrex Rd</t>
  </si>
  <si>
    <t>Albany</t>
  </si>
  <si>
    <t>W0218-01</t>
  </si>
  <si>
    <t>Hartmann's Garden Centre</t>
  </si>
  <si>
    <t>512 Broome Road</t>
  </si>
  <si>
    <t>Broome Wa</t>
  </si>
  <si>
    <t>W0600-01</t>
  </si>
  <si>
    <t>4:11 pm</t>
  </si>
  <si>
    <t>hps Transport 1201 Main Nth Rd Pooraka</t>
  </si>
  <si>
    <t>12-May-2010</t>
  </si>
  <si>
    <t>12:41 pm</t>
  </si>
  <si>
    <t>912</t>
  </si>
  <si>
    <t>Hawke Brook Chalets</t>
  </si>
  <si>
    <t>Lot 300 Hawke Rd</t>
  </si>
  <si>
    <t>W0020-01</t>
  </si>
  <si>
    <t>High Vale Orchard Pty Ltd</t>
  </si>
  <si>
    <t>SX78DC</t>
  </si>
  <si>
    <t>7:33 pm</t>
  </si>
  <si>
    <t>SX79EC</t>
  </si>
  <si>
    <t>8:44 pm</t>
  </si>
  <si>
    <t>Paul Millard</t>
  </si>
  <si>
    <t>20-Dec-2009</t>
  </si>
  <si>
    <t>5:14 pm</t>
  </si>
  <si>
    <t>1008</t>
  </si>
  <si>
    <t>Berry Exchange _ -  QLD</t>
  </si>
  <si>
    <t>Fumilink - WA</t>
  </si>
  <si>
    <t>R Cannizzaro Pty Ltd, Store 15, Adelaide Produce Markets, Pooraka SA, 5095</t>
  </si>
  <si>
    <t>john halliday</t>
  </si>
  <si>
    <t>25-Nov-2009</t>
  </si>
  <si>
    <t>4:03 pm</t>
  </si>
  <si>
    <t>red onions pumpkins</t>
  </si>
  <si>
    <t>Gatton qld</t>
  </si>
  <si>
    <t>35 Merrivale Rd</t>
  </si>
  <si>
    <t>W0052-01</t>
  </si>
  <si>
    <t>Hills Cold Stores</t>
  </si>
  <si>
    <t>951 Canning Road</t>
  </si>
  <si>
    <t>W0028-02</t>
  </si>
  <si>
    <t>Hunter Street Nursery</t>
  </si>
  <si>
    <t>4 Hunter Street</t>
  </si>
  <si>
    <t>W0268-01</t>
  </si>
  <si>
    <t>Jarrah Jacks Developments P/L</t>
  </si>
  <si>
    <t>Lot 11935 Kemp Road</t>
  </si>
  <si>
    <t>W0594-01</t>
  </si>
  <si>
    <t>9:09 pm</t>
  </si>
  <si>
    <t>15-Dec-2011</t>
  </si>
  <si>
    <t>5:39 pm</t>
  </si>
  <si>
    <t>252</t>
  </si>
  <si>
    <t>Csi</t>
  </si>
  <si>
    <t>Jasper Farms</t>
  </si>
  <si>
    <t>68 Jasper Road</t>
  </si>
  <si>
    <t>Yoongarillup</t>
  </si>
  <si>
    <t>W0577-01</t>
  </si>
  <si>
    <t>Joe Bendotti and Co</t>
  </si>
  <si>
    <t>Golf Links Rd</t>
  </si>
  <si>
    <t>W0166-01</t>
  </si>
  <si>
    <t>John William Brealey</t>
  </si>
  <si>
    <t>Loc. 9216 Rappoff Road</t>
  </si>
  <si>
    <t>W0592-01</t>
  </si>
  <si>
    <t>Karragullen Cool Storage</t>
  </si>
  <si>
    <t>42 Rokewood Way</t>
  </si>
  <si>
    <t>Karragullen</t>
  </si>
  <si>
    <t>W0227-01</t>
  </si>
  <si>
    <t>Kimberley Palm Factory</t>
  </si>
  <si>
    <t>11B Millington Road</t>
  </si>
  <si>
    <t>W0217-01</t>
  </si>
  <si>
    <t>KO and JA Luzny</t>
  </si>
  <si>
    <t>Graphite Rd</t>
  </si>
  <si>
    <t>W0161-01</t>
  </si>
  <si>
    <t>KTP and NTL Fresh Producers</t>
  </si>
  <si>
    <t>Lot 3 Geraldton Mount Magnet Road</t>
  </si>
  <si>
    <t>Mooyoonooka</t>
  </si>
  <si>
    <t>W0149-01</t>
  </si>
  <si>
    <t>Landsdale Strawberry Farm Pty Ltd</t>
  </si>
  <si>
    <t>Lot 156 Alexander Drive</t>
  </si>
  <si>
    <t>Landsdale</t>
  </si>
  <si>
    <t>W0209-01</t>
  </si>
  <si>
    <t>Luckens Fumigation Services</t>
  </si>
  <si>
    <t>69 Dowd Street</t>
  </si>
  <si>
    <t>Welshpool</t>
  </si>
  <si>
    <t>W0018-01</t>
  </si>
  <si>
    <t>M Maher &amp; Co</t>
  </si>
  <si>
    <t>171 Irymple Road</t>
  </si>
  <si>
    <t>W0213-01</t>
  </si>
  <si>
    <t>Mal Van Tiet &amp; Hien Lam</t>
  </si>
  <si>
    <t>348 Sydney Road</t>
  </si>
  <si>
    <t>Gnangara</t>
  </si>
  <si>
    <t>W0255-01</t>
  </si>
  <si>
    <t>Marron Brook Partners</t>
  </si>
  <si>
    <t>Loc 8191 Hawke Rd</t>
  </si>
  <si>
    <t>W0023-01</t>
  </si>
  <si>
    <t>Mayfield Park Gardens</t>
  </si>
  <si>
    <t>Edwards Rd</t>
  </si>
  <si>
    <t>W0041-01</t>
  </si>
  <si>
    <t>Mercer Mooney</t>
  </si>
  <si>
    <t>Warehouse E6 Market City 280 Bannister Rd</t>
  </si>
  <si>
    <t>Canningvale</t>
  </si>
  <si>
    <t>W0028-01</t>
  </si>
  <si>
    <t>Millstream Landscapes North West</t>
  </si>
  <si>
    <t>5 Archer Street</t>
  </si>
  <si>
    <t>W0243-01</t>
  </si>
  <si>
    <t>Ming Tram NG</t>
  </si>
  <si>
    <t>2 Ross Road</t>
  </si>
  <si>
    <t>W0261-01</t>
  </si>
  <si>
    <t>Mission Horticulture Pty Ltd</t>
  </si>
  <si>
    <t>RMB 725 Dorsett Rd</t>
  </si>
  <si>
    <t>Waroona</t>
  </si>
  <si>
    <t>W0116-01</t>
  </si>
  <si>
    <t>Moonlight Forest</t>
  </si>
  <si>
    <t>Nelson Loc 9083 Stirling Rd</t>
  </si>
  <si>
    <t>W0168-01</t>
  </si>
  <si>
    <t>Muchea Tree Farm</t>
  </si>
  <si>
    <t>86 Archibald St</t>
  </si>
  <si>
    <t>Muchea</t>
  </si>
  <si>
    <t>W0063-01</t>
  </si>
  <si>
    <t>Mystery Creek Avocado's</t>
  </si>
  <si>
    <t>4479 Jalbarragup Rd</t>
  </si>
  <si>
    <t>W0043-01</t>
  </si>
  <si>
    <t>Nanovich</t>
  </si>
  <si>
    <t>Lot 30 Old Yanchep Road</t>
  </si>
  <si>
    <t>W0258-01</t>
  </si>
  <si>
    <t>Newton Bros</t>
  </si>
  <si>
    <t>W0009-01</t>
  </si>
  <si>
    <t>Nguyen Price</t>
  </si>
  <si>
    <t>Lot 727 Geraldton Mt Magnet Road</t>
  </si>
  <si>
    <t>Moonyoonooka</t>
  </si>
  <si>
    <t>W0364-01</t>
  </si>
  <si>
    <t>Nguyen Thi Hoang &amp; Danh Vinh</t>
  </si>
  <si>
    <t>Lot 555 Mullewa Rd</t>
  </si>
  <si>
    <t>W0145-01</t>
  </si>
  <si>
    <t>Nigel Love &amp; Vanessa Roche</t>
  </si>
  <si>
    <t>Loc. 8950 Parker Road</t>
  </si>
  <si>
    <t>W0593-01</t>
  </si>
  <si>
    <t>Notable Horse Transport</t>
  </si>
  <si>
    <t>40 Hazelmere Circus</t>
  </si>
  <si>
    <t>Hazelmere</t>
  </si>
  <si>
    <t>W0170-01</t>
  </si>
  <si>
    <t>Oakwood Downs</t>
  </si>
  <si>
    <t>360 Marybrook Road</t>
  </si>
  <si>
    <t>3:07 pm</t>
  </si>
  <si>
    <t>21-Apr-2010</t>
  </si>
  <si>
    <t>11:36 am</t>
  </si>
  <si>
    <t xml:space="preserve">18 </t>
  </si>
  <si>
    <t>Pershouse</t>
  </si>
  <si>
    <t>Marybrook</t>
  </si>
  <si>
    <t>W0591-01</t>
  </si>
  <si>
    <t>Oasis Fresh Pty Ltd</t>
  </si>
  <si>
    <t>29 Everette Way</t>
  </si>
  <si>
    <t>W0157-01</t>
  </si>
  <si>
    <t>Orica Australia</t>
  </si>
  <si>
    <t>114 Kurrajong  Ave</t>
  </si>
  <si>
    <t>Mount Druitt</t>
  </si>
  <si>
    <t>W1013-01</t>
  </si>
  <si>
    <t>P &amp; S Goldring</t>
  </si>
  <si>
    <t>LOC 8953 Packer Road</t>
  </si>
  <si>
    <t>W0596-01</t>
  </si>
  <si>
    <t>Paul Ramsay</t>
  </si>
  <si>
    <t>10 Forbes St</t>
  </si>
  <si>
    <t>Ascot</t>
  </si>
  <si>
    <t>W0172-01</t>
  </si>
  <si>
    <t>Pearl Coast Palms</t>
  </si>
  <si>
    <t>Lot 35 Yamashita Street</t>
  </si>
  <si>
    <t>W0215-01</t>
  </si>
  <si>
    <t>Peter Shane Cocking</t>
  </si>
  <si>
    <t>Schallots</t>
  </si>
  <si>
    <t>11:10 pm</t>
  </si>
  <si>
    <t>BURTON RD   BURTON.</t>
  </si>
  <si>
    <t>16-Jan-2010</t>
  </si>
  <si>
    <t>VV81IN</t>
  </si>
  <si>
    <t>12:52 am</t>
  </si>
  <si>
    <t>02-Feb-2012</t>
  </si>
  <si>
    <t>9:22 pm</t>
  </si>
  <si>
    <t>Premier Fruit Qld</t>
  </si>
  <si>
    <t>7:40 pm</t>
  </si>
  <si>
    <t>16</t>
  </si>
  <si>
    <t>United Lettuce  Bris Mkts</t>
  </si>
  <si>
    <t>M &amp; A Mercorella Pty Ltd  stall 14.</t>
  </si>
  <si>
    <t>210 Roberts Rd</t>
  </si>
  <si>
    <t>5:27 pm</t>
  </si>
  <si>
    <t>United Fresh, Store 57, Adelaide Produce Markets, Pooraka SA, 5095</t>
  </si>
  <si>
    <t>BARRY BIGGINS</t>
  </si>
  <si>
    <t>09-Dec-2009</t>
  </si>
  <si>
    <t>1:57 pm</t>
  </si>
  <si>
    <t>90  84</t>
  </si>
  <si>
    <t>Rw pascoe  brisbane mkts</t>
  </si>
  <si>
    <t>Denmark</t>
  </si>
  <si>
    <t>W0174-01</t>
  </si>
  <si>
    <t>Podargus</t>
  </si>
  <si>
    <t>Lot 310 Black Rock Rd</t>
  </si>
  <si>
    <t>Margaret River</t>
  </si>
  <si>
    <t>W0042-01</t>
  </si>
  <si>
    <t>PW &amp; SM Barnsby</t>
  </si>
  <si>
    <t>Fox Road</t>
  </si>
  <si>
    <t>W0223-01</t>
  </si>
  <si>
    <t>R &amp; M Kemp</t>
  </si>
  <si>
    <t>Merrup Rd</t>
  </si>
  <si>
    <t>Northcliffe</t>
  </si>
  <si>
    <t>W0271-01</t>
  </si>
  <si>
    <t>R &amp; S Bamess</t>
  </si>
  <si>
    <t>W0109-01</t>
  </si>
  <si>
    <t>Churches Road</t>
  </si>
  <si>
    <t>W0109-02</t>
  </si>
  <si>
    <t>Springall Road</t>
  </si>
  <si>
    <t>W0109-03</t>
  </si>
  <si>
    <t>Rainbow Daylilies</t>
  </si>
  <si>
    <t>Lot 1 Grange Way</t>
  </si>
  <si>
    <t>Dunsborough</t>
  </si>
  <si>
    <t>W0114-01</t>
  </si>
  <si>
    <t>NV81HB</t>
  </si>
  <si>
    <t>1:20 am</t>
  </si>
  <si>
    <t>martin birmingham</t>
  </si>
  <si>
    <t>14-Oct-2012</t>
  </si>
  <si>
    <t>Newfresh food</t>
  </si>
  <si>
    <t xml:space="preserve">Woolworths Limited w.a. </t>
  </si>
  <si>
    <t>1:24 am</t>
  </si>
  <si>
    <t>8</t>
  </si>
  <si>
    <t>Its fresh</t>
  </si>
  <si>
    <t>1:29 am</t>
  </si>
  <si>
    <t>9:58 pm</t>
  </si>
  <si>
    <t>New fresh food</t>
  </si>
  <si>
    <t>Rewards Projects P/L</t>
  </si>
  <si>
    <t>Lot 103 Packsaddle Road</t>
  </si>
  <si>
    <t>Kununurra</t>
  </si>
  <si>
    <t>W0134-04</t>
  </si>
  <si>
    <t>Ridgewood Farm</t>
  </si>
  <si>
    <t>251 Grimwade Rd</t>
  </si>
  <si>
    <t>Balingup</t>
  </si>
  <si>
    <t>W0087-01</t>
  </si>
  <si>
    <t>Riverfarm Mangoes and Papaya</t>
  </si>
  <si>
    <t>Lot 215 Riverfarm Rd</t>
  </si>
  <si>
    <t>W0177-01</t>
  </si>
  <si>
    <t>RL and JA Dean</t>
  </si>
  <si>
    <t>185 Wowra Drive</t>
  </si>
  <si>
    <t>Gingin</t>
  </si>
  <si>
    <t>W0203-01</t>
  </si>
  <si>
    <t>RV Rutten</t>
  </si>
  <si>
    <t>Lot 956 Blackboy Flats Rd</t>
  </si>
  <si>
    <t>Bridgetown</t>
  </si>
  <si>
    <t>W0233-01</t>
  </si>
  <si>
    <t>Son Grower</t>
  </si>
  <si>
    <t>55 Grisker Road</t>
  </si>
  <si>
    <t>W0208-01</t>
  </si>
  <si>
    <t>South Pacific Seeds Pty Ltd</t>
  </si>
  <si>
    <t>48 - 50 Willandra Ave</t>
  </si>
  <si>
    <t>Griffith Nsw</t>
  </si>
  <si>
    <t>W0182-01</t>
  </si>
  <si>
    <t>SP Hay</t>
  </si>
  <si>
    <t>Great Southern Highway</t>
  </si>
  <si>
    <t>Brookton</t>
  </si>
  <si>
    <t>W0267-01</t>
  </si>
  <si>
    <t>SR &amp; KL Read</t>
  </si>
  <si>
    <t>Loc. 2073 Springall Street</t>
  </si>
  <si>
    <t>W0581-01</t>
  </si>
  <si>
    <t>SR and EJ Magistro</t>
  </si>
  <si>
    <t>113 Taylor Rd</t>
  </si>
  <si>
    <t>North Jindong</t>
  </si>
  <si>
    <t>W0106-01</t>
  </si>
  <si>
    <t>Strathspey</t>
  </si>
  <si>
    <t>787 Patterson Rd</t>
  </si>
  <si>
    <t>W0016-03</t>
  </si>
  <si>
    <t>Strathspey Pty Ltd</t>
  </si>
  <si>
    <t>173 Canning Rd</t>
  </si>
  <si>
    <t>W0016-02</t>
  </si>
  <si>
    <t>Strawberry Fields</t>
  </si>
  <si>
    <t>SX48DU</t>
  </si>
  <si>
    <t>6:00 pm</t>
  </si>
  <si>
    <t>Barry Biggins</t>
  </si>
  <si>
    <t>11-Nov-2009</t>
  </si>
  <si>
    <t>2.35pm</t>
  </si>
  <si>
    <t>704</t>
  </si>
  <si>
    <t>Brisbane markets qld</t>
  </si>
  <si>
    <t>2024 Wanneroo Road</t>
  </si>
  <si>
    <t>Neerabup</t>
  </si>
  <si>
    <t>W0210-01</t>
  </si>
  <si>
    <t>T and C Luzny</t>
  </si>
  <si>
    <t>W0162-01</t>
  </si>
  <si>
    <t>Tassone Orchards Pty Ltd</t>
  </si>
  <si>
    <t>87 Grimwade Rd</t>
  </si>
  <si>
    <t>W0069-01</t>
  </si>
  <si>
    <t>Terranova Seeds Pty Ltd</t>
  </si>
  <si>
    <t>Unit 13 / 19 Chifley St</t>
  </si>
  <si>
    <t>Smithfield  Nsw</t>
  </si>
  <si>
    <t>W1012-01</t>
  </si>
  <si>
    <t>The Avocado Grove</t>
  </si>
  <si>
    <t>89 Bailey Rd</t>
  </si>
  <si>
    <t>W0236-01</t>
  </si>
  <si>
    <t>The Berry Farm</t>
  </si>
  <si>
    <t>43 Bessell Rd</t>
  </si>
  <si>
    <t>W0085-01</t>
  </si>
  <si>
    <t>Thomas Frank Winfield</t>
  </si>
  <si>
    <t>Appadene Road</t>
  </si>
  <si>
    <t>W0049-01</t>
  </si>
  <si>
    <t>TI Produce Marketing</t>
  </si>
  <si>
    <t>5 Hawkins Road</t>
  </si>
  <si>
    <t>W0370-01</t>
  </si>
  <si>
    <t>TLF Export Co</t>
  </si>
  <si>
    <t>108 Safari Place</t>
  </si>
  <si>
    <t>W0003-01</t>
  </si>
  <si>
    <t>Tran Van Me</t>
  </si>
  <si>
    <t>Lot 926 Chapman Rd</t>
  </si>
  <si>
    <t>W0148-01</t>
  </si>
  <si>
    <t>Twin Lakes Holdings</t>
  </si>
  <si>
    <t>Nelson Location 10625 Perup Road</t>
  </si>
  <si>
    <t>SX11EL</t>
  </si>
  <si>
    <t>8:03 pm</t>
  </si>
  <si>
    <t>roberto</t>
  </si>
  <si>
    <t>07-Sep-2013</t>
  </si>
  <si>
    <t>10</t>
  </si>
  <si>
    <t>Blenners depot</t>
  </si>
  <si>
    <t>Costa logistics store 25 diagonal R.D</t>
  </si>
  <si>
    <t>4:56 pm</t>
  </si>
  <si>
    <t>Coles Store</t>
  </si>
  <si>
    <t>Go Directly to Destination Vie Harris Dry Creek</t>
  </si>
  <si>
    <t>Steve Mc Millan</t>
  </si>
  <si>
    <t>01-Oct-2013</t>
  </si>
  <si>
    <t>1:26 pm</t>
  </si>
  <si>
    <t>Rugby Bowen Farm Bowen</t>
  </si>
  <si>
    <t>WX35A0</t>
  </si>
  <si>
    <t>PAUL</t>
  </si>
  <si>
    <t>12-Nov-2013</t>
  </si>
  <si>
    <t>6:19 pm</t>
  </si>
  <si>
    <t>650</t>
  </si>
  <si>
    <t>BGP INT</t>
  </si>
  <si>
    <t>WX34AO</t>
  </si>
  <si>
    <t>5:44 pm</t>
  </si>
  <si>
    <t>steven mc millan</t>
  </si>
  <si>
    <t>01-Dec-2013</t>
  </si>
  <si>
    <t>2:14 pm</t>
  </si>
  <si>
    <t>80</t>
  </si>
  <si>
    <t>WX36AS</t>
  </si>
  <si>
    <t>12:51 am</t>
  </si>
  <si>
    <t>john cratchley</t>
  </si>
  <si>
    <t>02-Dec-2013</t>
  </si>
  <si>
    <t>9:21 pm</t>
  </si>
  <si>
    <t>pallel</t>
  </si>
  <si>
    <t>Mulgowie farming company</t>
  </si>
  <si>
    <t>Drake supermarket pooraka</t>
  </si>
  <si>
    <t>WX43AS</t>
  </si>
  <si>
    <t>11:29 pm</t>
  </si>
  <si>
    <t>Kingsley Elvidge</t>
  </si>
  <si>
    <t>13-Dec-2013</t>
  </si>
  <si>
    <t>7:55 pm</t>
  </si>
  <si>
    <t>full load</t>
  </si>
  <si>
    <t>Full load</t>
  </si>
  <si>
    <t>Dry creek dept</t>
  </si>
  <si>
    <t>WX41AS</t>
  </si>
  <si>
    <t>steven mcmillan</t>
  </si>
  <si>
    <t>08-Jan-2014</t>
  </si>
  <si>
    <t>Shelbourni verona</t>
  </si>
  <si>
    <t>Bidvest freash</t>
  </si>
  <si>
    <t>Mango384</t>
  </si>
  <si>
    <t>7:44 pm</t>
  </si>
  <si>
    <t>STEVEN</t>
  </si>
  <si>
    <t>4:14 pm</t>
  </si>
  <si>
    <t>Total foods network</t>
  </si>
  <si>
    <t xml:space="preserve">GHPL </t>
  </si>
  <si>
    <t>WX27AS</t>
  </si>
  <si>
    <t>11:16 pm</t>
  </si>
  <si>
    <t>john szabo</t>
  </si>
  <si>
    <t>27-Jan-2014</t>
  </si>
  <si>
    <t>7:46 pm</t>
  </si>
  <si>
    <t>Pinata marketing</t>
  </si>
  <si>
    <t>WX80AS</t>
  </si>
  <si>
    <t>5:04 pm</t>
  </si>
  <si>
    <t>kevin robison</t>
  </si>
  <si>
    <t>02-Feb-2014</t>
  </si>
  <si>
    <t>1:34 pm</t>
  </si>
  <si>
    <t>Highsun Express</t>
  </si>
  <si>
    <t>Roseberry nursery</t>
  </si>
  <si>
    <t>Kevin robison</t>
  </si>
  <si>
    <t>1:38 pm</t>
  </si>
  <si>
    <t>Higsun express</t>
  </si>
  <si>
    <t>Fridge it</t>
  </si>
  <si>
    <t>WA80AS</t>
  </si>
  <si>
    <t>5:12 pm</t>
  </si>
  <si>
    <t>Kevin Robison</t>
  </si>
  <si>
    <t>1:42 pm</t>
  </si>
  <si>
    <t xml:space="preserve">Highsun express </t>
  </si>
  <si>
    <t>Fridge it 64Nineth avenue oodville north</t>
  </si>
  <si>
    <t>WX35AS</t>
  </si>
  <si>
    <t>robert illman</t>
  </si>
  <si>
    <t>08-Feb-2014</t>
  </si>
  <si>
    <t>2:48 pm</t>
  </si>
  <si>
    <t>Propagation auat  Ipswick</t>
  </si>
  <si>
    <t>Plummers 26 caribou drive direk</t>
  </si>
  <si>
    <t>WX35AO</t>
  </si>
  <si>
    <t>8:35 pm</t>
  </si>
  <si>
    <t>Robert illman</t>
  </si>
  <si>
    <t>10-Feb-2014</t>
  </si>
  <si>
    <t>5:05 pm</t>
  </si>
  <si>
    <t>Pinata Market  Wamuran</t>
  </si>
  <si>
    <t>WX32AO</t>
  </si>
  <si>
    <t>4:51 pm</t>
  </si>
  <si>
    <t>Paul Firth.</t>
  </si>
  <si>
    <t>11-Feb-2014</t>
  </si>
  <si>
    <t>1:21 pm</t>
  </si>
  <si>
    <t>453</t>
  </si>
  <si>
    <t>Sunkist Plantation   GIN GIN QLD</t>
  </si>
  <si>
    <t>Avacoado</t>
  </si>
  <si>
    <t>WX45AS</t>
  </si>
  <si>
    <t>6:53 pm</t>
  </si>
  <si>
    <t>Harris Refriderated</t>
  </si>
  <si>
    <t>04-Mar-2014</t>
  </si>
  <si>
    <t>Costa farms qld</t>
  </si>
  <si>
    <t>Adelaide markets store 25.</t>
  </si>
  <si>
    <t>WX</t>
  </si>
  <si>
    <t>10:45 pm</t>
  </si>
  <si>
    <t>Trevor pilcher</t>
  </si>
  <si>
    <t>04-Apr-2014</t>
  </si>
  <si>
    <t>7:15 pm</t>
  </si>
  <si>
    <t>114</t>
  </si>
  <si>
    <t>W37AO</t>
  </si>
  <si>
    <t>10:51 pm</t>
  </si>
  <si>
    <t>7:20 pm</t>
  </si>
  <si>
    <t>7</t>
  </si>
  <si>
    <t>WX35SA</t>
  </si>
  <si>
    <t>5:47 pm</t>
  </si>
  <si>
    <t>06-Apr-2014</t>
  </si>
  <si>
    <t>Space</t>
  </si>
  <si>
    <t>Propagation aus Morningside</t>
  </si>
  <si>
    <t>Plummers nursery sa</t>
  </si>
  <si>
    <t>6:10 pm</t>
  </si>
  <si>
    <t>13-Sep-2014</t>
  </si>
  <si>
    <t>2:40 pm</t>
  </si>
  <si>
    <t>pallets</t>
  </si>
  <si>
    <t>Fruithaul Qld</t>
  </si>
  <si>
    <t>Coles SA Waterloo Cnr</t>
  </si>
  <si>
    <t>WX 45AO</t>
  </si>
  <si>
    <t>9:42 am</t>
  </si>
  <si>
    <t>Andrew  Meijer</t>
  </si>
  <si>
    <t>15-Sep-2014</t>
  </si>
  <si>
    <t>6:11 am</t>
  </si>
  <si>
    <t>unknown</t>
  </si>
  <si>
    <t>Queensland</t>
  </si>
  <si>
    <t>Adelaide.......harris pty ltd</t>
  </si>
  <si>
    <t>WX31AS</t>
  </si>
  <si>
    <t>12:18 am</t>
  </si>
  <si>
    <t>Harris Depot Dry creek SA</t>
  </si>
  <si>
    <t>John Whittaker</t>
  </si>
  <si>
    <t>21-Sep-2014</t>
  </si>
  <si>
    <t>8:48 pm</t>
  </si>
  <si>
    <t>396</t>
  </si>
  <si>
    <t>Castletown Hyde Park QLD</t>
  </si>
  <si>
    <t>Fresh Pick C/ Adelaide markets pooraka SA</t>
  </si>
  <si>
    <t>WX56AS</t>
  </si>
  <si>
    <t>Harris depot dry Creek</t>
  </si>
  <si>
    <t>Kevin  Sherriff</t>
  </si>
  <si>
    <t>22-Sep-2014</t>
  </si>
  <si>
    <t>5:13 pm</t>
  </si>
  <si>
    <t>Castletown  hyde park QLD  4812</t>
  </si>
  <si>
    <t>D &amp; G Fresh Fruit Distributors store 16 pooraka</t>
  </si>
  <si>
    <t>Trailer Numbers: VT64MY, ST60BL</t>
  </si>
  <si>
    <t>25-Sep-2014</t>
  </si>
  <si>
    <t>5:53 pm</t>
  </si>
  <si>
    <t>74</t>
  </si>
  <si>
    <t>Harris Tpt Morningside QLD</t>
  </si>
  <si>
    <t>Ajit Dhillon</t>
  </si>
  <si>
    <t>5:57 pm</t>
  </si>
  <si>
    <t>Fruit 4 You Store 51 Adelaide Markets Pooraka</t>
  </si>
  <si>
    <t>9:36 pm</t>
  </si>
  <si>
    <t>Trailer Reg Number: ST14CB</t>
  </si>
  <si>
    <t>6:06 pm</t>
  </si>
  <si>
    <t>Pallets</t>
  </si>
  <si>
    <t>Premier Fruit QLD</t>
  </si>
  <si>
    <t>10:54 pm</t>
  </si>
  <si>
    <t>Trailer Number: RV111</t>
  </si>
  <si>
    <t>27-Sep-2014</t>
  </si>
  <si>
    <t>7:24 pm</t>
  </si>
  <si>
    <t>Complete Air And Sea Rocklea</t>
  </si>
  <si>
    <t>12:30 am</t>
  </si>
  <si>
    <t>d g fresh fruit distributors store 16 adelaide produce market pooraka sa 5095</t>
  </si>
  <si>
    <t>leon king</t>
  </si>
  <si>
    <t>wayne gregory</t>
  </si>
  <si>
    <t>04-Oct-2014</t>
  </si>
  <si>
    <t>8:59 pm</t>
  </si>
  <si>
    <t>132</t>
  </si>
  <si>
    <t>Tropicana  trading</t>
  </si>
  <si>
    <t>D g fresh  market</t>
  </si>
  <si>
    <t>WX46AS</t>
  </si>
  <si>
    <t>10:23 pm</t>
  </si>
  <si>
    <t>Trailer: V93</t>
  </si>
  <si>
    <t>09-Oct-2014</t>
  </si>
  <si>
    <t>448</t>
  </si>
  <si>
    <t>Rand TPT QLD</t>
  </si>
  <si>
    <t>WX34AF</t>
  </si>
  <si>
    <t>6:27 pm</t>
  </si>
  <si>
    <t>Ceduna Quarantine Station Ceduna. SA.</t>
  </si>
  <si>
    <t>Logan Duck</t>
  </si>
  <si>
    <t>24-Oct-2014</t>
  </si>
  <si>
    <t>2:57 pm</t>
  </si>
  <si>
    <t>Castletown Hyde Park Qld</t>
  </si>
  <si>
    <t>All States produce Canningvale WA</t>
  </si>
  <si>
    <t>Ceduna Quarantine Station CEDUNA.</t>
  </si>
  <si>
    <t>3:03 pm</t>
  </si>
  <si>
    <t>241</t>
  </si>
  <si>
    <t>WallaVille QLD.</t>
  </si>
  <si>
    <t>Fresh Produce Pemberton WA 6260.</t>
  </si>
  <si>
    <t>WX33AO</t>
  </si>
  <si>
    <t>9:20 pm</t>
  </si>
  <si>
    <t>D&amp;G Fresh SA Building B store16</t>
  </si>
  <si>
    <t>13-Nov-2014</t>
  </si>
  <si>
    <t>5:50 pm</t>
  </si>
  <si>
    <t>685</t>
  </si>
  <si>
    <t>Rand Transport QLD</t>
  </si>
  <si>
    <t>Harris transport Dry creek SA</t>
  </si>
  <si>
    <t>9:26 pm</t>
  </si>
  <si>
    <t>D&amp;G fresh store 16</t>
  </si>
  <si>
    <t>Jat Refrigeration Castletown Hyde Park QLD 4812</t>
  </si>
  <si>
    <t>Charlton prod</t>
  </si>
  <si>
    <t>warrego highway charlton QLD</t>
  </si>
  <si>
    <t>288TKJ</t>
  </si>
  <si>
    <t>10:39 am</t>
  </si>
  <si>
    <t>MICK CASEY</t>
  </si>
  <si>
    <t>19-Nov-2014</t>
  </si>
  <si>
    <t>7:09 am</t>
  </si>
  <si>
    <t>20</t>
  </si>
  <si>
    <t>Rm kluch farms QLD</t>
  </si>
  <si>
    <t>2:15 am</t>
  </si>
  <si>
    <t>John Sherriff</t>
  </si>
  <si>
    <t>15-Dec-2014</t>
  </si>
  <si>
    <t>AustChilli Qld</t>
  </si>
  <si>
    <t>WX 34 AR</t>
  </si>
  <si>
    <t>john Cratchley</t>
  </si>
  <si>
    <t>08-Jan-2015</t>
  </si>
  <si>
    <t>264</t>
  </si>
  <si>
    <t>Jat Ref  castletown QLD</t>
  </si>
  <si>
    <t>Fresh Exchange Pty Ltd pooraka</t>
  </si>
  <si>
    <t>10:04 pm</t>
  </si>
  <si>
    <t>Roberto Gutierrez</t>
  </si>
  <si>
    <t>13-Jan-2015</t>
  </si>
  <si>
    <t>6:34 pm</t>
  </si>
  <si>
    <t>30/5</t>
  </si>
  <si>
    <t>Lockyer Produce</t>
  </si>
  <si>
    <t>10:06 pm</t>
  </si>
  <si>
    <t>Roberto Gutierezz</t>
  </si>
  <si>
    <t>6:36 pm</t>
  </si>
  <si>
    <t>18/6 + 12/4</t>
  </si>
  <si>
    <t>Lockyer Produce Grantham QLd</t>
  </si>
  <si>
    <t>10:55 pm</t>
  </si>
  <si>
    <t>Harris depot 28 Caribou Drive  Direc SA 5110</t>
  </si>
  <si>
    <t>Mick Drury</t>
  </si>
  <si>
    <t>15-Jan-2015</t>
  </si>
  <si>
    <t>7:25 pm</t>
  </si>
  <si>
    <t>Propagation Aust Browns Plains BC  QLD</t>
  </si>
  <si>
    <t>Harris depot</t>
  </si>
  <si>
    <t>10:16 pm</t>
  </si>
  <si>
    <t>Ajit</t>
  </si>
  <si>
    <t>21-Feb-2015</t>
  </si>
  <si>
    <t>6:46 pm</t>
  </si>
  <si>
    <t>TOTAL FOOD NETWORK ROCKLEA</t>
  </si>
  <si>
    <t>Coles burton</t>
  </si>
  <si>
    <t>Utchee refrigerated transport</t>
  </si>
  <si>
    <t>101TET</t>
  </si>
  <si>
    <t>stuart leach</t>
  </si>
  <si>
    <t>15-Mar-2015</t>
  </si>
  <si>
    <t>12:17 pm</t>
  </si>
  <si>
    <t>Deluca Banana Market</t>
  </si>
  <si>
    <t>De poi Produce</t>
  </si>
  <si>
    <t>Yellow Capsicums</t>
  </si>
  <si>
    <t>WX47A0</t>
  </si>
  <si>
    <t>Arharidis Brothers Pty Ltd, PO Box 80, VIRGINIA SA, 5120</t>
  </si>
  <si>
    <t>Mark Rasmus</t>
  </si>
  <si>
    <t>Larapinta QLD 4110 Woolworths</t>
  </si>
  <si>
    <t>WX2880</t>
  </si>
  <si>
    <t>Destination</t>
  </si>
  <si>
    <t>Rob Morgan</t>
  </si>
  <si>
    <t>20-Mar-2015</t>
  </si>
  <si>
    <t>504</t>
  </si>
  <si>
    <t>Costa Farms Rocklea</t>
  </si>
  <si>
    <t>D'Vine Ripe German Town Two Wells</t>
  </si>
  <si>
    <t>1DH4GZ</t>
  </si>
  <si>
    <t>7:21 pm</t>
  </si>
  <si>
    <t>lindsay  ingold</t>
  </si>
  <si>
    <t>20-Apr-2015</t>
  </si>
  <si>
    <t>3:51 pm</t>
  </si>
  <si>
    <t>1440</t>
  </si>
  <si>
    <t>Redled Citrus  Gayndah</t>
  </si>
  <si>
    <t>T.C Fresh Adelaide</t>
  </si>
  <si>
    <t>10:29 am</t>
  </si>
  <si>
    <t>john sherriff</t>
  </si>
  <si>
    <t>09-May-2015</t>
  </si>
  <si>
    <t>6:59 am</t>
  </si>
  <si>
    <t>273</t>
  </si>
  <si>
    <t>Tropicana trading</t>
  </si>
  <si>
    <t>Beans/Corn</t>
  </si>
  <si>
    <t>WX44AO</t>
  </si>
  <si>
    <t>9:44 pm</t>
  </si>
  <si>
    <t>19-May-2015</t>
  </si>
  <si>
    <t>6:14 pm</t>
  </si>
  <si>
    <t>Morningside Qld</t>
  </si>
  <si>
    <t>WW Gepps Cross Produce</t>
  </si>
  <si>
    <t>Lemons­_MURCOTT</t>
  </si>
  <si>
    <t>11:14 pm</t>
  </si>
  <si>
    <t>rOBERT MORGAN</t>
  </si>
  <si>
    <t>04-Sep-2015</t>
  </si>
  <si>
    <t>60­‑</t>
  </si>
  <si>
    <t>PALLET</t>
  </si>
  <si>
    <t>ABBOTSLEIGH TRANSPORT WALLAVILLE</t>
  </si>
  <si>
    <t>7:36 pm</t>
  </si>
  <si>
    <t>09-Sep-2015</t>
  </si>
  <si>
    <t>4:06 pm</t>
  </si>
  <si>
    <t>Market Eggs</t>
  </si>
  <si>
    <t>WX32AS</t>
  </si>
  <si>
    <t>10:47 pm</t>
  </si>
  <si>
    <t>P firth</t>
  </si>
  <si>
    <t>19-Sep-2015</t>
  </si>
  <si>
    <t>7:14 pm</t>
  </si>
  <si>
    <t>Morningside</t>
  </si>
  <si>
    <t>9:19 pm</t>
  </si>
  <si>
    <t>luke rubland</t>
  </si>
  <si>
    <t>04-Oct-2015</t>
  </si>
  <si>
    <t>Brisbane market</t>
  </si>
  <si>
    <t>Metcash Food &amp; grocery</t>
  </si>
  <si>
    <t>1EWR055</t>
  </si>
  <si>
    <t>14-Nov-2015</t>
  </si>
  <si>
    <t>/60</t>
  </si>
  <si>
    <t>Priority produce</t>
  </si>
  <si>
    <t>dino  ringwwond</t>
  </si>
  <si>
    <t>06-Dec-2015</t>
  </si>
  <si>
    <t>10:42 am</t>
  </si>
  <si>
    <t>168--12\3</t>
  </si>
  <si>
    <t>Cartons\ 1\3 Bin</t>
  </si>
  <si>
    <t>Locker</t>
  </si>
  <si>
    <t xml:space="preserve">Zerella frella </t>
  </si>
  <si>
    <t>UTCHEE</t>
  </si>
  <si>
    <t>001TET</t>
  </si>
  <si>
    <t>ADAM LANDER</t>
  </si>
  <si>
    <t>08-Dec-2015</t>
  </si>
  <si>
    <t>11:48 pm</t>
  </si>
  <si>
    <t>ROCKLEY</t>
  </si>
  <si>
    <t>DePOI</t>
  </si>
  <si>
    <t>Kalfresh</t>
  </si>
  <si>
    <t>po box104 62o6 cunningham highway kalbar qld 4309</t>
  </si>
  <si>
    <t>954TKE</t>
  </si>
  <si>
    <t>6:57 pm</t>
  </si>
  <si>
    <t>woolworths 599 main north road</t>
  </si>
  <si>
    <t>oodlawirra quarantine station 0886505930</t>
  </si>
  <si>
    <t>alan pentont</t>
  </si>
  <si>
    <t>16-Dec-2015</t>
  </si>
  <si>
    <t>3:27 pm</t>
  </si>
  <si>
    <t>Kalbar qld</t>
  </si>
  <si>
    <t xml:space="preserve">  woolworths adelaide</t>
  </si>
  <si>
    <t>945TKE</t>
  </si>
  <si>
    <t>7:18 pm</t>
  </si>
  <si>
    <t>woolworths 599 main north rd</t>
  </si>
  <si>
    <t>alan pontony</t>
  </si>
  <si>
    <t>3:48 pm</t>
  </si>
  <si>
    <t>Adelaide woolworths</t>
  </si>
  <si>
    <t>Farmhouse fresh sa</t>
  </si>
  <si>
    <t>7:58 pm</t>
  </si>
  <si>
    <t>roberto gutierrez</t>
  </si>
  <si>
    <t>4:27 pm</t>
  </si>
  <si>
    <t>30\5</t>
  </si>
  <si>
    <t>369 TMC</t>
  </si>
  <si>
    <t>1:07 am</t>
  </si>
  <si>
    <t>Dennis Bargwanna</t>
  </si>
  <si>
    <t>17-Dec-2015</t>
  </si>
  <si>
    <t>9:37 pm</t>
  </si>
  <si>
    <t>Dombulah QLD</t>
  </si>
  <si>
    <t>QVIO0UT</t>
  </si>
  <si>
    <t>3:58 am</t>
  </si>
  <si>
    <t>Harrisville Orchards, Harris Road, LENSWOOD SA, 5240</t>
  </si>
  <si>
    <t>ajit</t>
  </si>
  <si>
    <t>20-Dec-2015</t>
  </si>
  <si>
    <t>12:28 am</t>
  </si>
  <si>
    <t>21</t>
  </si>
  <si>
    <t>Propagation aust pty ltd</t>
  </si>
  <si>
    <t>QDO CANCELED DUE TO CERTS FOUND</t>
  </si>
  <si>
    <t>997PZR</t>
  </si>
  <si>
    <t>12:26 pm</t>
  </si>
  <si>
    <t>Bill Dowling</t>
  </si>
  <si>
    <t>31-Jan-2016</t>
  </si>
  <si>
    <t>8:55 am</t>
  </si>
  <si>
    <t>Howe Farming</t>
  </si>
  <si>
    <t>Costaa Adelaide</t>
  </si>
  <si>
    <t>1EXE253</t>
  </si>
  <si>
    <t>11:41 pm</t>
  </si>
  <si>
    <t>john</t>
  </si>
  <si>
    <t>03-Feb-2016</t>
  </si>
  <si>
    <t>8:11 pm</t>
  </si>
  <si>
    <t>D.vine ripe</t>
  </si>
  <si>
    <t>1EVZ803</t>
  </si>
  <si>
    <t>9:45 pm</t>
  </si>
  <si>
    <t>DAVE</t>
  </si>
  <si>
    <t>24-Feb-2016</t>
  </si>
  <si>
    <t>GHPL   QLD</t>
  </si>
  <si>
    <t>WALKER INT</t>
  </si>
  <si>
    <t>9:47 pm</t>
  </si>
  <si>
    <t>Roger evans</t>
  </si>
  <si>
    <t>28-Feb-2016</t>
  </si>
  <si>
    <t>6:17 pm</t>
  </si>
  <si>
    <t>Mulgowie Farning</t>
  </si>
  <si>
    <t>Level 2, 33 Flemington Street, Glenside, SA 5082</t>
  </si>
  <si>
    <t>Ph: 1300 666 010  Email: pirsa.planthealthmarketaccess@sa.gov.au</t>
  </si>
  <si>
    <t>Vehicle Reg #</t>
  </si>
  <si>
    <t>Licence #</t>
  </si>
  <si>
    <t>To: The owner of company in charge of a conveyance, vessel or consignment</t>
  </si>
  <si>
    <t>Ph</t>
  </si>
  <si>
    <t>Name</t>
  </si>
  <si>
    <t>Quantity</t>
  </si>
  <si>
    <t>ETA (date/time)</t>
  </si>
  <si>
    <t>Description</t>
  </si>
  <si>
    <t>Packaging</t>
  </si>
  <si>
    <t>To: The driver of the vehicle (on reciept by Consignee the driver will have fulfilled their Quarantine responsibility)</t>
  </si>
  <si>
    <t>To: The Consignee of goods or consignment</t>
  </si>
  <si>
    <t>To: The consignor of goods or consignment</t>
  </si>
  <si>
    <t>Origin (if different to Consignor)</t>
  </si>
  <si>
    <t>The Items as described above are now placed under quarantine pursuant to section 43 1(j)(k) of the Plant Health Act</t>
  </si>
  <si>
    <t>2009, and you are hereby dirrected uner Section 43 1® fo the Plant Health Act 2009 to deliver the above items to:</t>
  </si>
  <si>
    <t>These items may be unloaded at above premise and are to be separated from other product and are not to be sold,</t>
  </si>
  <si>
    <t>distributed or removed from above premise until they are released by an inspector appointed under the Plant Health</t>
  </si>
  <si>
    <t>Act 2009 or a responsible person for the receiving business under an IVCA accreditation.</t>
  </si>
  <si>
    <t>ID#</t>
  </si>
  <si>
    <t>Driver Acknowledgment</t>
  </si>
  <si>
    <t>I acknowledge I must follow the above Directions*</t>
  </si>
  <si>
    <t>Inspector / Responsible Person closing QDO to complete the following:</t>
  </si>
  <si>
    <t>Action / Outcome:</t>
  </si>
  <si>
    <t>WARNING:</t>
  </si>
  <si>
    <t>Inspector Stamp:</t>
  </si>
  <si>
    <t>Refusing or failure to comply with this Quarantine Direction Order is an offence under</t>
  </si>
  <si>
    <t>section 48 of the Plant Health Act 2009 and attracts a maximum penalty of $5,000</t>
  </si>
  <si>
    <t>Contact Number:</t>
  </si>
  <si>
    <t>Inspector's Directions*:</t>
  </si>
  <si>
    <t>Name of Inspector / Responsible Person:</t>
  </si>
  <si>
    <t>27-Nov-2017</t>
  </si>
  <si>
    <t>OOD195</t>
  </si>
  <si>
    <t>16/12/2015</t>
  </si>
  <si>
    <t>0.658333333333333</t>
  </si>
  <si>
    <t>12/16/2015</t>
  </si>
  <si>
    <t>Conveyance
(Deprecated)</t>
  </si>
  <si>
    <t>Inspector Contact Details
(Deprecated)</t>
  </si>
  <si>
    <t>Further Directions
(Deprecated)</t>
  </si>
  <si>
    <t>endCol</t>
  </si>
  <si>
    <t>Driver Address</t>
  </si>
  <si>
    <t>Driver Licence</t>
  </si>
  <si>
    <t>Item Origin Address</t>
  </si>
  <si>
    <t>Item Origin If Different</t>
  </si>
  <si>
    <t>Item Destination Phone</t>
  </si>
  <si>
    <t>Item Destination Address</t>
  </si>
  <si>
    <t>Directed to SA Depot</t>
  </si>
  <si>
    <t>Directed to Consignee Address</t>
  </si>
  <si>
    <t>Directed to Other</t>
  </si>
  <si>
    <t>Other Directions</t>
  </si>
  <si>
    <t>Inspector ID</t>
  </si>
  <si>
    <t>Sign Off Contact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</si>
</sst>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)"/>
  </numFmts>
  <fonts count="45" x14ac:knownFonts="1">
    <font>
      <sz val="10"/>
      <name val="Arial"/>
    </font>
    <font>
      <b/>
      <sz val="10"/>
      <name val="Arial"/>
      <family val="2"/>
    </font>
    <font>
      <b/>
      <u/>
      <sz val="10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b/>
      <sz val="2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9"/>
      <name val="Arial"/>
      <family val="2"/>
    </font>
    <font>
      <sz val="10"/>
      <color indexed="12"/>
      <name val="Arial"/>
      <family val="2"/>
    </font>
    <font>
      <sz val="10"/>
      <color indexed="60"/>
      <name val="Arial"/>
      <family val="2"/>
    </font>
    <font>
      <sz val="12"/>
      <color indexed="60"/>
      <name val="Arial"/>
      <family val="2"/>
    </font>
    <font>
      <sz val="10"/>
      <color indexed="8"/>
      <name val="Arial"/>
      <family val="2"/>
    </font>
    <font>
      <sz val="10"/>
      <color indexed="11"/>
      <name val="Arial"/>
      <family val="2"/>
    </font>
    <font>
      <sz val="8"/>
      <color indexed="26"/>
      <name val="Arial"/>
      <family val="2"/>
    </font>
    <font>
      <sz val="11"/>
      <color indexed="18"/>
      <name val="Arial"/>
      <family val="2"/>
    </font>
    <font>
      <sz val="10"/>
      <color indexed="11"/>
      <name val="Arial"/>
      <family val="2"/>
    </font>
    <font>
      <sz val="11"/>
      <name val="Calibri"/>
      <family val="2"/>
    </font>
    <font>
      <sz val="10.5"/>
      <name val="Consolas"/>
      <family val="3"/>
    </font>
    <font>
      <sz val="10"/>
      <color indexed="9"/>
      <name val="Arial"/>
      <family val="2"/>
    </font>
    <font>
      <sz val="10"/>
      <color indexed="8"/>
      <name val="Arial"/>
      <family val="2"/>
    </font>
    <font>
      <sz val="11"/>
      <color indexed="1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9"/>
      <name val="Arial"/>
      <family val="2"/>
    </font>
    <font>
      <sz val="11"/>
      <color indexed="18"/>
      <name val="Calibri"/>
      <family val="2"/>
    </font>
    <font>
      <sz val="11"/>
      <color indexed="8"/>
      <name val="Calibri"/>
      <family val="2"/>
    </font>
    <font>
      <sz val="11"/>
      <color indexed="18"/>
      <name val="Arial"/>
      <family val="2"/>
    </font>
    <font>
      <sz val="8"/>
      <name val="Arial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sz val="11"/>
      <color rgb="FF000099"/>
      <name val="Arial"/>
      <family val="2"/>
    </font>
    <font>
      <b/>
      <sz val="22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sz val="10"/>
      <color rgb="FFFFC000"/>
      <name val="Arial"/>
      <family val="2"/>
    </font>
    <font>
      <b/>
      <sz val="18"/>
      <name val="Arial"/>
      <family val="2"/>
    </font>
    <font>
      <sz val="10"/>
      <color rgb="FFC00000"/>
      <name val="Arial"/>
      <family val="2"/>
    </font>
    <font>
      <sz val="10"/>
      <color rgb="FF000099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11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57"/>
      </patternFill>
    </fill>
    <fill>
      <patternFill patternType="solid">
        <fgColor indexed="11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rgb="FFC6EFCE"/>
      </patternFill>
    </fill>
  </fills>
  <borders count="7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/>
      <right/>
      <top/>
      <bottom style="double">
        <color indexed="1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30"/>
      </left>
      <right style="thin">
        <color indexed="30"/>
      </right>
      <top style="thin">
        <color indexed="30"/>
      </top>
      <bottom/>
      <diagonal/>
    </border>
    <border>
      <left style="thin">
        <color indexed="30"/>
      </left>
      <right style="thin">
        <color indexed="30"/>
      </right>
      <top/>
      <bottom/>
      <diagonal/>
    </border>
    <border>
      <left style="thin">
        <color indexed="30"/>
      </left>
      <right style="thin">
        <color indexed="30"/>
      </right>
      <top/>
      <bottom style="thin">
        <color indexed="30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medium">
        <color indexed="12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ck">
        <color indexed="57"/>
      </left>
      <right style="thin">
        <color indexed="57"/>
      </right>
      <top/>
      <bottom/>
      <diagonal/>
    </border>
    <border>
      <left style="thin">
        <color indexed="57"/>
      </left>
      <right style="thin">
        <color indexed="57"/>
      </right>
      <top/>
      <bottom/>
      <diagonal/>
    </border>
    <border>
      <left style="thin">
        <color indexed="57"/>
      </left>
      <right style="thick">
        <color indexed="57"/>
      </right>
      <top/>
      <bottom/>
      <diagonal/>
    </border>
    <border>
      <left/>
      <right/>
      <top/>
      <bottom style="double">
        <color indexed="62"/>
      </bottom>
      <diagonal/>
    </border>
    <border>
      <left style="double">
        <color indexed="30"/>
      </left>
      <right style="double">
        <color indexed="30"/>
      </right>
      <top style="double">
        <color indexed="30"/>
      </top>
      <bottom style="double">
        <color indexed="30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medium">
        <color indexed="30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medium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/>
      <top style="thin">
        <color indexed="57"/>
      </top>
      <bottom/>
      <diagonal/>
    </border>
    <border>
      <left style="thin">
        <color indexed="57"/>
      </left>
      <right/>
      <top/>
      <bottom/>
      <diagonal/>
    </border>
    <border>
      <left style="medium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57"/>
      </left>
      <right style="medium">
        <color indexed="57"/>
      </right>
      <top style="thin">
        <color indexed="57"/>
      </top>
      <bottom style="thin">
        <color indexed="57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medium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57"/>
      </top>
      <bottom/>
      <diagonal/>
    </border>
    <border>
      <left/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/>
      <top style="thin">
        <color indexed="57"/>
      </top>
      <bottom style="thin">
        <color indexed="57"/>
      </bottom>
      <diagonal/>
    </border>
    <border>
      <left/>
      <right/>
      <top style="thin">
        <color indexed="57"/>
      </top>
      <bottom style="thin">
        <color indexed="57"/>
      </bottom>
      <diagonal/>
    </border>
    <border>
      <left/>
      <right style="thin">
        <color indexed="57"/>
      </right>
      <top style="thin">
        <color indexed="57"/>
      </top>
      <bottom style="thin">
        <color indexed="57"/>
      </bottom>
      <diagonal/>
    </border>
    <border>
      <left/>
      <right style="thin">
        <color indexed="57"/>
      </right>
      <top/>
      <bottom/>
      <diagonal/>
    </border>
    <border>
      <left style="medium">
        <color indexed="18"/>
      </left>
      <right style="medium">
        <color indexed="18"/>
      </right>
      <top style="medium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medium">
        <color indexed="18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18"/>
      </left>
      <right style="thick">
        <color indexed="18"/>
      </right>
      <top style="thick">
        <color indexed="18"/>
      </top>
      <bottom style="thin">
        <color indexed="18"/>
      </bottom>
      <diagonal/>
    </border>
    <border>
      <left style="thick">
        <color indexed="18"/>
      </left>
      <right style="thick">
        <color indexed="18"/>
      </right>
      <top style="thin">
        <color indexed="18"/>
      </top>
      <bottom style="thick">
        <color indexed="18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</borders>
  <cellStyleXfs count="5">
    <xf numFmtId="0" fontId="0" fillId="0" borderId="0"/>
    <xf numFmtId="0" fontId="33" fillId="2" borderId="0" applyNumberFormat="0" applyBorder="0" applyAlignment="0" applyProtection="0"/>
    <xf numFmtId="0" fontId="33" fillId="14" borderId="0" applyNumberFormat="0" applyBorder="0" applyAlignment="0" applyProtection="0"/>
    <xf numFmtId="0" fontId="34" fillId="15" borderId="0" applyNumberFormat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</cellStyleXfs>
  <cellXfs count="349">
    <xf numFmtId="0" fontId="0" fillId="0" borderId="0" xfId="0"/>
    <xf numFmtId="0" fontId="0" fillId="0" borderId="0" xfId="0" applyAlignment="1">
      <alignment vertical="center" shrinkToFit="1"/>
    </xf>
    <xf numFmtId="0" fontId="0" fillId="0" borderId="0" xfId="0" applyProtection="1"/>
    <xf numFmtId="0" fontId="0" fillId="0" borderId="1" xfId="0" applyBorder="1" applyProtection="1"/>
    <xf numFmtId="0" fontId="0" fillId="0" borderId="2" xfId="0" applyBorder="1" applyProtection="1"/>
    <xf numFmtId="0" fontId="0" fillId="0" borderId="3" xfId="0" applyBorder="1" applyProtection="1"/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Protection="1"/>
    <xf numFmtId="0" fontId="4" fillId="0" borderId="0" xfId="0" applyFont="1" applyAlignment="1" applyProtection="1"/>
    <xf numFmtId="0" fontId="5" fillId="0" borderId="0" xfId="0" applyFont="1" applyAlignment="1" applyProtection="1"/>
    <xf numFmtId="0" fontId="6" fillId="0" borderId="0" xfId="0" applyFont="1" applyBorder="1" applyAlignment="1" applyProtection="1">
      <alignment vertical="top"/>
    </xf>
    <xf numFmtId="0" fontId="0" fillId="0" borderId="0" xfId="0" applyAlignment="1" applyProtection="1">
      <alignment vertical="top"/>
    </xf>
    <xf numFmtId="0" fontId="0" fillId="0" borderId="4" xfId="0" applyBorder="1" applyProtection="1"/>
    <xf numFmtId="0" fontId="9" fillId="0" borderId="0" xfId="0" applyFont="1" applyProtection="1"/>
    <xf numFmtId="0" fontId="0" fillId="3" borderId="0" xfId="0" applyFill="1" applyProtection="1"/>
    <xf numFmtId="0" fontId="0" fillId="3" borderId="7" xfId="0" applyFill="1" applyBorder="1" applyProtection="1"/>
    <xf numFmtId="0" fontId="8" fillId="0" borderId="10" xfId="0" applyFont="1" applyBorder="1"/>
    <xf numFmtId="0" fontId="8" fillId="0" borderId="11" xfId="0" applyFont="1" applyBorder="1"/>
    <xf numFmtId="0" fontId="8" fillId="0" borderId="12" xfId="0" applyFont="1" applyBorder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 applyBorder="1" applyProtection="1"/>
    <xf numFmtId="0" fontId="8" fillId="4" borderId="13" xfId="0" applyFont="1" applyFill="1" applyBorder="1" applyProtection="1">
      <protection locked="0"/>
    </xf>
    <xf numFmtId="0" fontId="8" fillId="4" borderId="14" xfId="0" applyFont="1" applyFill="1" applyBorder="1" applyProtection="1">
      <protection locked="0"/>
    </xf>
    <xf numFmtId="0" fontId="0" fillId="4" borderId="14" xfId="0" applyFill="1" applyBorder="1" applyProtection="1">
      <protection locked="0"/>
    </xf>
    <xf numFmtId="0" fontId="0" fillId="4" borderId="15" xfId="0" applyFill="1" applyBorder="1" applyProtection="1">
      <protection locked="0"/>
    </xf>
    <xf numFmtId="0" fontId="13" fillId="5" borderId="16" xfId="0" applyFont="1" applyFill="1" applyBorder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left"/>
    </xf>
    <xf numFmtId="0" fontId="14" fillId="6" borderId="0" xfId="0" applyFont="1" applyFill="1"/>
    <xf numFmtId="0" fontId="15" fillId="6" borderId="0" xfId="0" applyFont="1" applyFill="1"/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 shrinkToFit="1"/>
    </xf>
    <xf numFmtId="0" fontId="0" fillId="0" borderId="0" xfId="0" applyAlignment="1">
      <alignment horizontal="center" shrinkToFit="1"/>
    </xf>
    <xf numFmtId="0" fontId="0" fillId="0" borderId="0" xfId="0" applyAlignment="1">
      <alignment shrinkToFit="1"/>
    </xf>
    <xf numFmtId="0" fontId="8" fillId="0" borderId="0" xfId="0" applyFont="1" applyAlignment="1">
      <alignment horizontal="left" shrinkToFit="1"/>
    </xf>
    <xf numFmtId="0" fontId="8" fillId="0" borderId="0" xfId="4" applyFont="1" applyAlignment="1" applyProtection="1">
      <alignment shrinkToFit="1"/>
    </xf>
    <xf numFmtId="0" fontId="0" fillId="0" borderId="0" xfId="0" applyFill="1" applyBorder="1" applyAlignment="1">
      <alignment horizontal="center" shrinkToFit="1"/>
    </xf>
    <xf numFmtId="0" fontId="8" fillId="0" borderId="0" xfId="4" applyFont="1" applyAlignment="1" applyProtection="1">
      <alignment vertical="top" shrinkToFit="1"/>
    </xf>
    <xf numFmtId="49" fontId="0" fillId="0" borderId="0" xfId="0" applyNumberFormat="1" applyAlignment="1">
      <alignment shrinkToFit="1"/>
    </xf>
    <xf numFmtId="49" fontId="0" fillId="0" borderId="0" xfId="0" applyNumberFormat="1" applyAlignment="1">
      <alignment horizontal="center" shrinkToFit="1"/>
    </xf>
    <xf numFmtId="0" fontId="8" fillId="0" borderId="0" xfId="0" applyFont="1" applyAlignment="1">
      <alignment horizontal="center" shrinkToFit="1"/>
    </xf>
    <xf numFmtId="0" fontId="8" fillId="0" borderId="0" xfId="4" applyFont="1" applyAlignment="1" applyProtection="1">
      <alignment horizontal="left" shrinkToFit="1"/>
    </xf>
    <xf numFmtId="49" fontId="8" fillId="0" borderId="0" xfId="0" applyNumberFormat="1" applyFont="1" applyAlignment="1">
      <alignment horizontal="center" shrinkToFit="1"/>
    </xf>
    <xf numFmtId="0" fontId="12" fillId="0" borderId="0" xfId="0" applyFont="1" applyAlignment="1">
      <alignment vertical="top" shrinkToFit="1"/>
    </xf>
    <xf numFmtId="0" fontId="12" fillId="0" borderId="0" xfId="0" applyFont="1" applyAlignment="1">
      <alignment horizontal="left" vertical="top" shrinkToFit="1"/>
    </xf>
    <xf numFmtId="0" fontId="8" fillId="0" borderId="0" xfId="0" applyFont="1" applyAlignment="1">
      <alignment shrinkToFit="1"/>
    </xf>
    <xf numFmtId="0" fontId="0" fillId="6" borderId="0" xfId="0" applyFill="1" applyAlignment="1">
      <alignment shrinkToFit="1"/>
    </xf>
    <xf numFmtId="0" fontId="1" fillId="0" borderId="0" xfId="0" applyFont="1" applyAlignment="1">
      <alignment horizontal="center" shrinkToFit="1"/>
    </xf>
    <xf numFmtId="0" fontId="16" fillId="6" borderId="0" xfId="0" applyFont="1" applyFill="1" applyBorder="1"/>
    <xf numFmtId="0" fontId="16" fillId="6" borderId="7" xfId="0" applyFont="1" applyFill="1" applyBorder="1"/>
    <xf numFmtId="0" fontId="13" fillId="7" borderId="0" xfId="0" applyFont="1" applyFill="1" applyBorder="1" applyAlignment="1">
      <alignment horizontal="center"/>
    </xf>
    <xf numFmtId="0" fontId="8" fillId="7" borderId="0" xfId="0" applyFont="1" applyFill="1" applyBorder="1" applyProtection="1">
      <protection locked="0"/>
    </xf>
    <xf numFmtId="0" fontId="0" fillId="7" borderId="0" xfId="0" applyFill="1" applyBorder="1" applyProtection="1">
      <protection locked="0"/>
    </xf>
    <xf numFmtId="0" fontId="23" fillId="0" borderId="0" xfId="0" applyFont="1" applyFill="1" applyBorder="1" applyProtection="1"/>
    <xf numFmtId="0" fontId="23" fillId="0" borderId="0" xfId="0" applyFont="1" applyFill="1" applyBorder="1" applyAlignment="1" applyProtection="1">
      <alignment vertical="center"/>
    </xf>
    <xf numFmtId="0" fontId="23" fillId="0" borderId="18" xfId="0" applyFont="1" applyFill="1" applyBorder="1" applyProtection="1"/>
    <xf numFmtId="0" fontId="7" fillId="0" borderId="3" xfId="0" applyFont="1" applyBorder="1" applyAlignment="1" applyProtection="1">
      <alignment horizontal="left" indent="1"/>
    </xf>
    <xf numFmtId="0" fontId="7" fillId="0" borderId="3" xfId="0" applyFont="1" applyFill="1" applyBorder="1" applyAlignment="1" applyProtection="1">
      <alignment horizontal="left" indent="1"/>
    </xf>
    <xf numFmtId="0" fontId="0" fillId="0" borderId="0" xfId="0" applyAlignment="1" applyProtection="1">
      <alignment horizontal="left" indent="1"/>
    </xf>
    <xf numFmtId="0" fontId="0" fillId="0" borderId="0" xfId="0" applyFill="1" applyBorder="1" applyAlignment="1" applyProtection="1"/>
    <xf numFmtId="0" fontId="17" fillId="8" borderId="21" xfId="0" applyFont="1" applyFill="1" applyBorder="1" applyAlignment="1">
      <alignment textRotation="69"/>
    </xf>
    <xf numFmtId="0" fontId="17" fillId="8" borderId="22" xfId="0" applyFont="1" applyFill="1" applyBorder="1" applyAlignment="1">
      <alignment textRotation="69"/>
    </xf>
    <xf numFmtId="0" fontId="17" fillId="8" borderId="23" xfId="0" applyFont="1" applyFill="1" applyBorder="1" applyAlignment="1">
      <alignment textRotation="69"/>
    </xf>
    <xf numFmtId="0" fontId="20" fillId="8" borderId="22" xfId="0" applyFont="1" applyFill="1" applyBorder="1" applyAlignment="1">
      <alignment textRotation="69"/>
    </xf>
    <xf numFmtId="0" fontId="24" fillId="9" borderId="0" xfId="0" applyFont="1" applyFill="1"/>
    <xf numFmtId="0" fontId="24" fillId="9" borderId="24" xfId="0" applyFont="1" applyFill="1" applyBorder="1"/>
    <xf numFmtId="0" fontId="8" fillId="9" borderId="25" xfId="0" applyFont="1" applyFill="1" applyBorder="1"/>
    <xf numFmtId="0" fontId="8" fillId="10" borderId="26" xfId="0" applyFont="1" applyFill="1" applyBorder="1" applyAlignment="1">
      <alignment horizontal="center" vertical="center"/>
    </xf>
    <xf numFmtId="0" fontId="8" fillId="5" borderId="26" xfId="0" applyFont="1" applyFill="1" applyBorder="1"/>
    <xf numFmtId="0" fontId="6" fillId="0" borderId="28" xfId="0" applyFont="1" applyBorder="1" applyAlignment="1" applyProtection="1">
      <alignment horizontal="right" vertical="center" indent="3"/>
    </xf>
    <xf numFmtId="0" fontId="7" fillId="0" borderId="0" xfId="0" applyFont="1" applyBorder="1" applyAlignment="1" applyProtection="1">
      <alignment horizontal="left" indent="1"/>
    </xf>
    <xf numFmtId="0" fontId="24" fillId="9" borderId="0" xfId="0" applyFont="1" applyFill="1" applyAlignment="1">
      <alignment horizontal="right" indent="1"/>
    </xf>
    <xf numFmtId="0" fontId="24" fillId="9" borderId="24" xfId="0" applyFont="1" applyFill="1" applyBorder="1" applyAlignment="1">
      <alignment horizontal="right" indent="1"/>
    </xf>
    <xf numFmtId="0" fontId="0" fillId="0" borderId="0" xfId="0" applyAlignment="1">
      <alignment horizontal="right" indent="1"/>
    </xf>
    <xf numFmtId="0" fontId="0" fillId="0" borderId="31" xfId="0" applyFill="1" applyBorder="1" applyAlignment="1">
      <alignment vertical="center" shrinkToFit="1"/>
    </xf>
    <xf numFmtId="1" fontId="0" fillId="11" borderId="32" xfId="0" applyNumberFormat="1" applyFill="1" applyBorder="1" applyAlignment="1">
      <alignment vertical="center" shrinkToFit="1"/>
    </xf>
    <xf numFmtId="0" fontId="0" fillId="11" borderId="33" xfId="0" applyFill="1" applyBorder="1" applyAlignment="1">
      <alignment vertical="center" shrinkToFit="1"/>
    </xf>
    <xf numFmtId="49" fontId="0" fillId="11" borderId="33" xfId="0" applyNumberFormat="1" applyFill="1" applyBorder="1" applyAlignment="1">
      <alignment vertical="center" shrinkToFit="1"/>
    </xf>
    <xf numFmtId="0" fontId="0" fillId="11" borderId="34" xfId="0" applyFill="1" applyBorder="1" applyAlignment="1">
      <alignment vertical="center" shrinkToFit="1"/>
    </xf>
    <xf numFmtId="0" fontId="17" fillId="8" borderId="35" xfId="0" applyFont="1" applyFill="1" applyBorder="1" applyAlignment="1">
      <alignment textRotation="69"/>
    </xf>
    <xf numFmtId="1" fontId="0" fillId="0" borderId="36" xfId="0" applyNumberFormat="1" applyFill="1" applyBorder="1" applyAlignment="1">
      <alignment vertical="center" shrinkToFit="1"/>
    </xf>
    <xf numFmtId="49" fontId="0" fillId="0" borderId="31" xfId="0" applyNumberFormat="1" applyFill="1" applyBorder="1" applyAlignment="1">
      <alignment vertical="center" shrinkToFit="1"/>
    </xf>
    <xf numFmtId="0" fontId="0" fillId="0" borderId="37" xfId="0" applyFill="1" applyBorder="1" applyAlignment="1">
      <alignment vertical="center" shrinkToFit="1"/>
    </xf>
    <xf numFmtId="0" fontId="0" fillId="9" borderId="0" xfId="0" applyFill="1" applyBorder="1"/>
    <xf numFmtId="0" fontId="0" fillId="9" borderId="38" xfId="0" applyFill="1" applyBorder="1"/>
    <xf numFmtId="0" fontId="8" fillId="0" borderId="0" xfId="0" applyFont="1"/>
    <xf numFmtId="0" fontId="0" fillId="0" borderId="0" xfId="0" applyNumberFormat="1"/>
    <xf numFmtId="0" fontId="8" fillId="9" borderId="39" xfId="0" applyFont="1" applyFill="1" applyBorder="1" applyProtection="1">
      <protection locked="0"/>
    </xf>
    <xf numFmtId="0" fontId="8" fillId="9" borderId="40" xfId="0" applyFont="1" applyFill="1" applyBorder="1" applyProtection="1">
      <protection locked="0"/>
    </xf>
    <xf numFmtId="0" fontId="0" fillId="9" borderId="41" xfId="0" applyFill="1" applyBorder="1" applyProtection="1">
      <protection locked="0"/>
    </xf>
    <xf numFmtId="0" fontId="8" fillId="4" borderId="39" xfId="0" applyFont="1" applyFill="1" applyBorder="1" applyProtection="1">
      <protection locked="0"/>
    </xf>
    <xf numFmtId="0" fontId="8" fillId="4" borderId="40" xfId="0" applyFont="1" applyFill="1" applyBorder="1" applyProtection="1">
      <protection locked="0"/>
    </xf>
    <xf numFmtId="0" fontId="0" fillId="4" borderId="40" xfId="0" applyFill="1" applyBorder="1" applyProtection="1">
      <protection locked="0"/>
    </xf>
    <xf numFmtId="0" fontId="0" fillId="4" borderId="42" xfId="0" applyFill="1" applyBorder="1" applyProtection="1">
      <protection locked="0"/>
    </xf>
    <xf numFmtId="0" fontId="8" fillId="4" borderId="42" xfId="0" applyFont="1" applyFill="1" applyBorder="1" applyProtection="1">
      <protection locked="0"/>
    </xf>
    <xf numFmtId="0" fontId="27" fillId="11" borderId="43" xfId="0" applyFont="1" applyFill="1" applyBorder="1"/>
    <xf numFmtId="0" fontId="8" fillId="9" borderId="42" xfId="0" applyFont="1" applyFill="1" applyBorder="1" applyProtection="1">
      <protection locked="0"/>
    </xf>
    <xf numFmtId="0" fontId="8" fillId="4" borderId="41" xfId="0" applyFont="1" applyFill="1" applyBorder="1" applyProtection="1">
      <protection locked="0"/>
    </xf>
    <xf numFmtId="0" fontId="0" fillId="0" borderId="0" xfId="0" applyBorder="1" applyAlignment="1">
      <alignment horizontal="left" shrinkToFit="1"/>
    </xf>
    <xf numFmtId="0" fontId="0" fillId="0" borderId="0" xfId="0" applyBorder="1" applyAlignment="1">
      <alignment horizontal="center" shrinkToFit="1"/>
    </xf>
    <xf numFmtId="0" fontId="0" fillId="0" borderId="0" xfId="0" applyBorder="1"/>
    <xf numFmtId="0" fontId="0" fillId="0" borderId="0" xfId="0" applyBorder="1" applyAlignment="1">
      <alignment shrinkToFit="1"/>
    </xf>
    <xf numFmtId="0" fontId="0" fillId="0" borderId="0" xfId="0" applyBorder="1" applyAlignment="1">
      <alignment horizontal="center"/>
    </xf>
    <xf numFmtId="0" fontId="11" fillId="0" borderId="0" xfId="4" applyBorder="1" applyAlignment="1" applyProtection="1">
      <alignment shrinkToFit="1"/>
    </xf>
    <xf numFmtId="0" fontId="0" fillId="0" borderId="0" xfId="0" quotePrefix="1" applyNumberFormat="1"/>
    <xf numFmtId="0" fontId="27" fillId="0" borderId="34" xfId="0" applyFont="1" applyFill="1" applyBorder="1"/>
    <xf numFmtId="0" fontId="27" fillId="0" borderId="46" xfId="0" applyFont="1" applyFill="1" applyBorder="1"/>
    <xf numFmtId="49" fontId="27" fillId="0" borderId="46" xfId="0" applyNumberFormat="1" applyFont="1" applyFill="1" applyBorder="1"/>
    <xf numFmtId="0" fontId="27" fillId="0" borderId="46" xfId="0" applyFont="1" applyFill="1" applyBorder="1" applyAlignment="1">
      <alignment horizontal="right" indent="1"/>
    </xf>
    <xf numFmtId="0" fontId="27" fillId="0" borderId="47" xfId="0" applyFont="1" applyFill="1" applyBorder="1"/>
    <xf numFmtId="0" fontId="27" fillId="0" borderId="46" xfId="0" applyFont="1" applyBorder="1"/>
    <xf numFmtId="49" fontId="27" fillId="0" borderId="46" xfId="0" applyNumberFormat="1" applyFont="1" applyBorder="1"/>
    <xf numFmtId="0" fontId="27" fillId="0" borderId="46" xfId="0" applyFont="1" applyBorder="1" applyAlignment="1">
      <alignment horizontal="right" indent="1"/>
    </xf>
    <xf numFmtId="0" fontId="27" fillId="0" borderId="47" xfId="0" applyFont="1" applyBorder="1"/>
    <xf numFmtId="164" fontId="27" fillId="0" borderId="34" xfId="0" applyNumberFormat="1" applyFont="1" applyFill="1" applyBorder="1"/>
    <xf numFmtId="164" fontId="27" fillId="0" borderId="46" xfId="0" applyNumberFormat="1" applyFont="1" applyBorder="1"/>
    <xf numFmtId="164" fontId="27" fillId="0" borderId="46" xfId="0" applyNumberFormat="1" applyFont="1" applyBorder="1" applyAlignment="1">
      <alignment horizontal="right" indent="1"/>
    </xf>
    <xf numFmtId="0" fontId="27" fillId="0" borderId="48" xfId="0" applyFont="1" applyFill="1" applyBorder="1"/>
    <xf numFmtId="0" fontId="27" fillId="0" borderId="49" xfId="0" applyFont="1" applyBorder="1"/>
    <xf numFmtId="49" fontId="27" fillId="0" borderId="49" xfId="0" applyNumberFormat="1" applyFont="1" applyBorder="1"/>
    <xf numFmtId="0" fontId="27" fillId="0" borderId="49" xfId="0" applyFont="1" applyBorder="1" applyAlignment="1">
      <alignment horizontal="right" indent="1"/>
    </xf>
    <xf numFmtId="0" fontId="27" fillId="0" borderId="50" xfId="0" applyFont="1" applyBorder="1"/>
    <xf numFmtId="0" fontId="28" fillId="12" borderId="35" xfId="0" applyFont="1" applyFill="1" applyBorder="1"/>
    <xf numFmtId="0" fontId="28" fillId="12" borderId="0" xfId="0" applyFont="1" applyFill="1" applyBorder="1"/>
    <xf numFmtId="0" fontId="28" fillId="12" borderId="0" xfId="0" applyFont="1" applyFill="1" applyBorder="1" applyAlignment="1">
      <alignment horizontal="right" indent="1"/>
    </xf>
    <xf numFmtId="0" fontId="28" fillId="12" borderId="51" xfId="0" applyFont="1" applyFill="1" applyBorder="1"/>
    <xf numFmtId="164" fontId="27" fillId="0" borderId="0" xfId="0" applyNumberFormat="1" applyFont="1" applyFill="1"/>
    <xf numFmtId="0" fontId="0" fillId="0" borderId="34" xfId="0" quotePrefix="1" applyNumberFormat="1" applyBorder="1"/>
    <xf numFmtId="0" fontId="27" fillId="0" borderId="0" xfId="0" applyFont="1" applyFill="1"/>
    <xf numFmtId="164" fontId="27" fillId="0" borderId="0" xfId="0" applyNumberFormat="1" applyFont="1"/>
    <xf numFmtId="0" fontId="0" fillId="0" borderId="46" xfId="0" quotePrefix="1" applyNumberFormat="1" applyBorder="1"/>
    <xf numFmtId="0" fontId="27" fillId="0" borderId="0" xfId="0" applyFont="1"/>
    <xf numFmtId="49" fontId="27" fillId="0" borderId="0" xfId="0" applyNumberFormat="1" applyFont="1"/>
    <xf numFmtId="49" fontId="27" fillId="0" borderId="0" xfId="0" applyNumberFormat="1" applyFont="1" applyFill="1"/>
    <xf numFmtId="164" fontId="27" fillId="0" borderId="0" xfId="0" applyNumberFormat="1" applyFont="1" applyAlignment="1">
      <alignment horizontal="right" indent="1"/>
    </xf>
    <xf numFmtId="0" fontId="27" fillId="0" borderId="0" xfId="0" applyFont="1" applyFill="1" applyAlignment="1">
      <alignment horizontal="right" indent="1"/>
    </xf>
    <xf numFmtId="0" fontId="27" fillId="0" borderId="0" xfId="0" applyFont="1" applyAlignment="1">
      <alignment horizontal="right" indent="1"/>
    </xf>
    <xf numFmtId="0" fontId="27" fillId="0" borderId="0" xfId="0" applyFont="1" applyFill="1" applyAlignment="1">
      <alignment horizontal="left" indent="1"/>
    </xf>
    <xf numFmtId="0" fontId="0" fillId="0" borderId="47" xfId="0" quotePrefix="1" applyNumberFormat="1" applyBorder="1"/>
    <xf numFmtId="0" fontId="29" fillId="2" borderId="52" xfId="1" applyFont="1" applyBorder="1"/>
    <xf numFmtId="0" fontId="30" fillId="15" borderId="53" xfId="3" applyFont="1" applyBorder="1" applyProtection="1">
      <protection locked="0"/>
    </xf>
    <xf numFmtId="0" fontId="30" fillId="15" borderId="54" xfId="3" applyFont="1" applyBorder="1" applyProtection="1">
      <protection locked="0"/>
    </xf>
    <xf numFmtId="0" fontId="21" fillId="9" borderId="55" xfId="0" applyFont="1" applyFill="1" applyBorder="1" applyProtection="1">
      <protection locked="0"/>
    </xf>
    <xf numFmtId="0" fontId="22" fillId="9" borderId="55" xfId="0" applyFont="1" applyFill="1" applyBorder="1" applyProtection="1">
      <protection locked="0"/>
    </xf>
    <xf numFmtId="0" fontId="22" fillId="9" borderId="56" xfId="0" applyFont="1" applyFill="1" applyBorder="1" applyProtection="1">
      <protection locked="0"/>
    </xf>
    <xf numFmtId="0" fontId="0" fillId="9" borderId="57" xfId="0" applyFill="1" applyBorder="1" applyProtection="1">
      <protection locked="0"/>
    </xf>
    <xf numFmtId="0" fontId="8" fillId="13" borderId="52" xfId="0" applyFont="1" applyFill="1" applyBorder="1"/>
    <xf numFmtId="0" fontId="0" fillId="0" borderId="52" xfId="0" applyBorder="1"/>
    <xf numFmtId="0" fontId="33" fillId="14" borderId="53" xfId="2" applyBorder="1"/>
    <xf numFmtId="0" fontId="33" fillId="14" borderId="54" xfId="2" applyBorder="1"/>
    <xf numFmtId="0" fontId="33" fillId="14" borderId="58" xfId="2" applyBorder="1"/>
    <xf numFmtId="0" fontId="33" fillId="14" borderId="59" xfId="2" applyBorder="1"/>
    <xf numFmtId="1" fontId="0" fillId="0" borderId="32" xfId="0" applyNumberFormat="1" applyFill="1" applyBorder="1" applyAlignment="1">
      <alignment vertical="center" shrinkToFit="1"/>
    </xf>
    <xf numFmtId="0" fontId="0" fillId="0" borderId="33" xfId="0" applyFill="1" applyBorder="1" applyAlignment="1">
      <alignment vertical="center" shrinkToFit="1"/>
    </xf>
    <xf numFmtId="49" fontId="0" fillId="0" borderId="33" xfId="0" applyNumberFormat="1" applyFill="1" applyBorder="1" applyAlignment="1">
      <alignment vertical="center" shrinkToFit="1"/>
    </xf>
    <xf numFmtId="0" fontId="0" fillId="0" borderId="34" xfId="0" applyFill="1" applyBorder="1" applyAlignment="1">
      <alignment vertical="center" shrinkToFit="1"/>
    </xf>
    <xf numFmtId="14" fontId="0" fillId="0" borderId="31" xfId="0" applyNumberFormat="1" applyFill="1" applyBorder="1" applyAlignment="1">
      <alignment vertical="center" shrinkToFit="1"/>
    </xf>
    <xf numFmtId="14" fontId="0" fillId="0" borderId="33" xfId="0" applyNumberFormat="1" applyFill="1" applyBorder="1" applyAlignment="1">
      <alignment vertical="center" shrinkToFit="1"/>
    </xf>
    <xf numFmtId="0" fontId="0" fillId="0" borderId="48" xfId="0" applyFill="1" applyBorder="1" applyAlignment="1">
      <alignment vertical="center" shrinkToFit="1"/>
    </xf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Alignment="1" applyProtection="1"/>
    <xf numFmtId="0" fontId="0" fillId="0" borderId="4" xfId="0" applyBorder="1" applyAlignment="1" applyProtection="1"/>
    <xf numFmtId="0" fontId="8" fillId="0" borderId="0" xfId="0" applyFont="1" applyBorder="1" applyAlignment="1" applyProtection="1">
      <alignment horizontal="right"/>
    </xf>
    <xf numFmtId="0" fontId="1" fillId="0" borderId="0" xfId="0" applyFont="1" applyBorder="1" applyAlignment="1" applyProtection="1"/>
    <xf numFmtId="0" fontId="1" fillId="0" borderId="0" xfId="0" applyFont="1" applyBorder="1" applyAlignment="1" applyProtection="1">
      <alignment horizontal="right"/>
    </xf>
    <xf numFmtId="0" fontId="35" fillId="0" borderId="0" xfId="0" applyFont="1" applyBorder="1" applyAlignment="1" applyProtection="1">
      <alignment vertical="center"/>
    </xf>
    <xf numFmtId="0" fontId="36" fillId="0" borderId="30" xfId="0" applyFont="1" applyBorder="1" applyAlignment="1" applyProtection="1">
      <alignment vertical="center"/>
    </xf>
    <xf numFmtId="0" fontId="36" fillId="0" borderId="61" xfId="0" applyFont="1" applyBorder="1" applyAlignment="1" applyProtection="1">
      <alignment horizontal="right" vertical="center"/>
    </xf>
    <xf numFmtId="0" fontId="36" fillId="0" borderId="69" xfId="0" applyFont="1" applyBorder="1" applyAlignment="1" applyProtection="1">
      <alignment vertical="center"/>
    </xf>
    <xf numFmtId="0" fontId="6" fillId="0" borderId="27" xfId="0" applyFont="1" applyBorder="1" applyAlignment="1" applyProtection="1">
      <alignment horizontal="left" vertical="center" indent="1"/>
    </xf>
    <xf numFmtId="0" fontId="6" fillId="0" borderId="28" xfId="0" applyFont="1" applyBorder="1" applyAlignment="1" applyProtection="1">
      <alignment horizontal="right" vertical="center" indent="1"/>
    </xf>
    <xf numFmtId="0" fontId="23" fillId="0" borderId="28" xfId="0" applyFont="1" applyFill="1" applyBorder="1" applyProtection="1"/>
    <xf numFmtId="0" fontId="23" fillId="0" borderId="28" xfId="0" applyFont="1" applyFill="1" applyBorder="1" applyAlignment="1" applyProtection="1">
      <alignment vertical="center"/>
    </xf>
    <xf numFmtId="0" fontId="6" fillId="0" borderId="3" xfId="0" applyFont="1" applyBorder="1" applyAlignment="1" applyProtection="1">
      <alignment horizontal="right" vertical="center" indent="3"/>
    </xf>
    <xf numFmtId="0" fontId="6" fillId="0" borderId="0" xfId="0" applyFont="1" applyBorder="1" applyAlignment="1" applyProtection="1">
      <alignment horizontal="right" vertical="center" indent="3"/>
    </xf>
    <xf numFmtId="0" fontId="23" fillId="0" borderId="4" xfId="0" applyFont="1" applyFill="1" applyBorder="1" applyProtection="1"/>
    <xf numFmtId="0" fontId="0" fillId="0" borderId="0" xfId="0" applyBorder="1" applyAlignment="1">
      <alignment horizontal="left" vertical="center" wrapText="1" indent="1"/>
    </xf>
    <xf numFmtId="0" fontId="0" fillId="0" borderId="4" xfId="0" applyBorder="1" applyAlignment="1">
      <alignment horizontal="left" vertical="center" wrapText="1" indent="1"/>
    </xf>
    <xf numFmtId="0" fontId="36" fillId="0" borderId="3" xfId="0" applyFont="1" applyBorder="1" applyAlignment="1" applyProtection="1">
      <alignment horizontal="left" vertical="center" indent="1"/>
    </xf>
    <xf numFmtId="0" fontId="36" fillId="0" borderId="0" xfId="0" applyFont="1" applyBorder="1" applyAlignment="1" applyProtection="1">
      <alignment horizontal="left" vertical="center" indent="1"/>
    </xf>
    <xf numFmtId="0" fontId="36" fillId="0" borderId="4" xfId="0" applyFont="1" applyBorder="1" applyAlignment="1" applyProtection="1">
      <alignment horizontal="left" vertical="center" indent="1"/>
    </xf>
    <xf numFmtId="0" fontId="0" fillId="0" borderId="70" xfId="0" applyBorder="1" applyProtection="1"/>
    <xf numFmtId="0" fontId="7" fillId="0" borderId="70" xfId="0" applyFont="1" applyBorder="1" applyAlignment="1" applyProtection="1">
      <alignment horizontal="left" indent="1"/>
    </xf>
    <xf numFmtId="0" fontId="0" fillId="0" borderId="29" xfId="0" applyBorder="1" applyProtection="1"/>
    <xf numFmtId="0" fontId="0" fillId="0" borderId="63" xfId="0" applyBorder="1" applyProtection="1"/>
    <xf numFmtId="0" fontId="25" fillId="0" borderId="0" xfId="0" applyFont="1" applyBorder="1" applyAlignment="1" applyProtection="1">
      <alignment vertical="center"/>
    </xf>
    <xf numFmtId="0" fontId="31" fillId="0" borderId="0" xfId="0" applyFont="1" applyBorder="1" applyAlignment="1" applyProtection="1">
      <alignment vertical="center"/>
    </xf>
    <xf numFmtId="0" fontId="31" fillId="0" borderId="0" xfId="0" applyFont="1" applyBorder="1" applyAlignment="1">
      <alignment vertical="center"/>
    </xf>
    <xf numFmtId="0" fontId="31" fillId="0" borderId="4" xfId="0" applyFont="1" applyBorder="1" applyAlignment="1">
      <alignment vertical="center"/>
    </xf>
    <xf numFmtId="0" fontId="7" fillId="0" borderId="0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horizontal="center" vertical="center"/>
    </xf>
    <xf numFmtId="0" fontId="0" fillId="0" borderId="44" xfId="0" applyBorder="1" applyProtection="1"/>
    <xf numFmtId="49" fontId="25" fillId="0" borderId="29" xfId="0" applyNumberFormat="1" applyFont="1" applyBorder="1" applyAlignment="1" applyProtection="1">
      <alignment vertical="center"/>
    </xf>
    <xf numFmtId="0" fontId="0" fillId="0" borderId="4" xfId="0" applyFill="1" applyBorder="1" applyAlignment="1" applyProtection="1"/>
    <xf numFmtId="0" fontId="0" fillId="0" borderId="29" xfId="0" applyBorder="1" applyAlignment="1">
      <alignment vertical="center"/>
    </xf>
    <xf numFmtId="49" fontId="25" fillId="0" borderId="29" xfId="0" applyNumberFormat="1" applyFont="1" applyFill="1" applyBorder="1" applyAlignment="1" applyProtection="1">
      <alignment vertical="center"/>
    </xf>
    <xf numFmtId="49" fontId="25" fillId="0" borderId="45" xfId="0" applyNumberFormat="1" applyFont="1" applyFill="1" applyBorder="1" applyAlignment="1" applyProtection="1">
      <alignment vertical="center"/>
    </xf>
    <xf numFmtId="0" fontId="18" fillId="0" borderId="0" xfId="0" applyFont="1" applyBorder="1" applyAlignment="1" applyProtection="1">
      <alignment horizontal="center" vertical="center"/>
    </xf>
    <xf numFmtId="0" fontId="6" fillId="0" borderId="0" xfId="0" applyFont="1" applyBorder="1" applyAlignment="1">
      <alignment horizontal="left" vertical="center" indent="1"/>
    </xf>
    <xf numFmtId="0" fontId="6" fillId="0" borderId="4" xfId="0" applyFont="1" applyBorder="1" applyAlignment="1">
      <alignment horizontal="left" vertical="center" indent="1"/>
    </xf>
    <xf numFmtId="0" fontId="7" fillId="0" borderId="0" xfId="0" applyFont="1" applyBorder="1" applyAlignment="1">
      <alignment horizontal="right" vertical="center"/>
    </xf>
    <xf numFmtId="49" fontId="31" fillId="0" borderId="0" xfId="0" applyNumberFormat="1" applyFont="1" applyBorder="1" applyAlignment="1" applyProtection="1">
      <alignment horizontal="left" vertical="center" indent="1"/>
    </xf>
    <xf numFmtId="0" fontId="6" fillId="0" borderId="0" xfId="0" applyFont="1" applyBorder="1" applyAlignment="1">
      <alignment horizontal="left" vertical="center" wrapText="1" indent="1"/>
    </xf>
    <xf numFmtId="0" fontId="0" fillId="0" borderId="44" xfId="0" applyBorder="1" applyAlignment="1" applyProtection="1">
      <alignment horizontal="center" vertical="center"/>
    </xf>
    <xf numFmtId="0" fontId="0" fillId="0" borderId="29" xfId="0" applyBorder="1" applyAlignment="1" applyProtection="1">
      <alignment horizontal="center" vertical="center"/>
    </xf>
    <xf numFmtId="0" fontId="0" fillId="0" borderId="45" xfId="0" applyBorder="1" applyAlignment="1" applyProtection="1">
      <alignment horizontal="center" vertical="center"/>
    </xf>
    <xf numFmtId="0" fontId="0" fillId="0" borderId="0" xfId="0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 indent="1"/>
    </xf>
    <xf numFmtId="0" fontId="36" fillId="0" borderId="3" xfId="0" applyFont="1" applyBorder="1" applyAlignment="1">
      <alignment horizontal="right" vertical="center"/>
    </xf>
    <xf numFmtId="0" fontId="8" fillId="0" borderId="0" xfId="0" applyFont="1" applyBorder="1" applyAlignment="1">
      <alignment horizontal="right" vertical="center"/>
    </xf>
    <xf numFmtId="0" fontId="36" fillId="0" borderId="3" xfId="0" applyFont="1" applyBorder="1" applyAlignment="1" applyProtection="1">
      <alignment horizontal="left" indent="1"/>
    </xf>
    <xf numFmtId="0" fontId="36" fillId="0" borderId="0" xfId="0" applyFont="1" applyBorder="1" applyAlignment="1" applyProtection="1">
      <alignment horizontal="left" indent="1"/>
    </xf>
    <xf numFmtId="0" fontId="36" fillId="0" borderId="3" xfId="0" applyFont="1" applyFill="1" applyBorder="1" applyAlignment="1" applyProtection="1">
      <alignment horizontal="left" indent="1"/>
    </xf>
    <xf numFmtId="0" fontId="36" fillId="0" borderId="3" xfId="0" applyFont="1" applyBorder="1" applyAlignment="1">
      <alignment vertical="center"/>
    </xf>
    <xf numFmtId="0" fontId="36" fillId="0" borderId="0" xfId="0" applyFont="1" applyBorder="1" applyAlignment="1">
      <alignment horizontal="left" vertical="center" wrapText="1" indent="1"/>
    </xf>
    <xf numFmtId="0" fontId="36" fillId="0" borderId="0" xfId="0" applyFont="1" applyBorder="1" applyAlignment="1">
      <alignment horizontal="right" vertical="center"/>
    </xf>
    <xf numFmtId="49" fontId="36" fillId="0" borderId="0" xfId="0" applyNumberFormat="1" applyFont="1" applyBorder="1" applyAlignment="1">
      <alignment horizontal="left" vertical="center" indent="1"/>
    </xf>
    <xf numFmtId="0" fontId="41" fillId="0" borderId="0" xfId="0" applyFont="1" applyBorder="1" applyProtection="1"/>
    <xf numFmtId="0" fontId="41" fillId="0" borderId="0" xfId="0" applyFont="1" applyBorder="1" applyAlignment="1" applyProtection="1"/>
    <xf numFmtId="49" fontId="37" fillId="0" borderId="30" xfId="0" applyNumberFormat="1" applyFont="1" applyBorder="1" applyAlignment="1"/>
    <xf numFmtId="49" fontId="37" fillId="0" borderId="62" xfId="0" applyNumberFormat="1" applyFont="1" applyBorder="1" applyAlignment="1"/>
    <xf numFmtId="0" fontId="37" fillId="0" borderId="61" xfId="0" applyNumberFormat="1" applyFont="1" applyBorder="1" applyAlignment="1"/>
    <xf numFmtId="0" fontId="6" fillId="0" borderId="3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horizontal="left" vertical="center"/>
    </xf>
    <xf numFmtId="0" fontId="6" fillId="0" borderId="70" xfId="0" applyFont="1" applyBorder="1" applyAlignment="1" applyProtection="1">
      <alignment horizontal="left" vertical="center"/>
    </xf>
    <xf numFmtId="0" fontId="25" fillId="0" borderId="0" xfId="0" applyFont="1" applyBorder="1" applyAlignment="1" applyProtection="1">
      <alignment horizontal="left" vertical="center"/>
    </xf>
    <xf numFmtId="0" fontId="25" fillId="0" borderId="70" xfId="0" applyFont="1" applyBorder="1" applyAlignment="1" applyProtection="1">
      <alignment horizontal="left" vertical="center"/>
    </xf>
    <xf numFmtId="15" fontId="37" fillId="0" borderId="0" xfId="0" applyNumberFormat="1" applyFont="1" applyBorder="1" applyAlignment="1" applyProtection="1">
      <alignment horizontal="left" vertical="center" indent="1"/>
    </xf>
    <xf numFmtId="0" fontId="37" fillId="0" borderId="0" xfId="0" applyFont="1" applyBorder="1" applyAlignment="1" applyProtection="1">
      <alignment horizontal="left" vertical="center" indent="1"/>
    </xf>
    <xf numFmtId="0" fontId="25" fillId="0" borderId="0" xfId="0" applyFont="1" applyBorder="1" applyAlignment="1" applyProtection="1">
      <alignment horizontal="left" vertical="center" indent="1"/>
    </xf>
    <xf numFmtId="0" fontId="2" fillId="0" borderId="2" xfId="0" applyFont="1" applyBorder="1" applyAlignment="1" applyProtection="1">
      <alignment horizontal="center"/>
    </xf>
    <xf numFmtId="0" fontId="2" fillId="0" borderId="64" xfId="0" applyFont="1" applyBorder="1" applyAlignment="1" applyProtection="1">
      <alignment horizontal="center"/>
    </xf>
    <xf numFmtId="0" fontId="0" fillId="0" borderId="0" xfId="0" applyBorder="1" applyAlignment="1" applyProtection="1"/>
    <xf numFmtId="0" fontId="36" fillId="0" borderId="27" xfId="0" applyFont="1" applyBorder="1" applyAlignment="1" applyProtection="1">
      <alignment horizontal="left" vertical="center" indent="1"/>
    </xf>
    <xf numFmtId="0" fontId="36" fillId="0" borderId="28" xfId="0" applyFont="1" applyBorder="1" applyAlignment="1" applyProtection="1">
      <alignment horizontal="left" vertical="center" indent="1"/>
    </xf>
    <xf numFmtId="0" fontId="36" fillId="0" borderId="18" xfId="0" applyFont="1" applyBorder="1" applyAlignment="1" applyProtection="1">
      <alignment horizontal="left" vertical="center" indent="1"/>
    </xf>
    <xf numFmtId="0" fontId="38" fillId="0" borderId="3" xfId="0" applyFont="1" applyFill="1" applyBorder="1" applyAlignment="1" applyProtection="1">
      <alignment horizontal="center" vertical="center"/>
    </xf>
    <xf numFmtId="0" fontId="38" fillId="0" borderId="0" xfId="0" applyFont="1" applyFill="1" applyBorder="1" applyAlignment="1" applyProtection="1">
      <alignment horizontal="center" vertical="center"/>
    </xf>
    <xf numFmtId="0" fontId="38" fillId="0" borderId="4" xfId="0" applyFont="1" applyFill="1" applyBorder="1" applyAlignment="1" applyProtection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0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6" fillId="0" borderId="0" xfId="0" applyFont="1" applyBorder="1" applyAlignment="1" applyProtection="1">
      <alignment horizontal="right" vertical="center"/>
    </xf>
    <xf numFmtId="0" fontId="8" fillId="0" borderId="27" xfId="0" applyFont="1" applyBorder="1" applyAlignment="1" applyProtection="1">
      <alignment horizontal="left" vertical="center" indent="1"/>
    </xf>
    <xf numFmtId="0" fontId="8" fillId="0" borderId="28" xfId="0" applyFont="1" applyBorder="1" applyAlignment="1" applyProtection="1">
      <alignment horizontal="left" vertical="center" indent="1"/>
    </xf>
    <xf numFmtId="0" fontId="8" fillId="0" borderId="18" xfId="0" applyFont="1" applyBorder="1" applyAlignment="1" applyProtection="1">
      <alignment horizontal="left" vertical="center" indent="1"/>
    </xf>
    <xf numFmtId="0" fontId="37" fillId="0" borderId="61" xfId="0" applyFont="1" applyBorder="1" applyAlignment="1">
      <alignment horizontal="left"/>
    </xf>
    <xf numFmtId="0" fontId="37" fillId="0" borderId="30" xfId="0" applyFont="1" applyBorder="1" applyAlignment="1">
      <alignment horizontal="left"/>
    </xf>
    <xf numFmtId="0" fontId="37" fillId="0" borderId="62" xfId="0" applyFont="1" applyBorder="1" applyAlignment="1">
      <alignment horizontal="left"/>
    </xf>
    <xf numFmtId="0" fontId="36" fillId="0" borderId="8" xfId="0" applyFont="1" applyBorder="1" applyAlignment="1" applyProtection="1">
      <alignment horizontal="center" vertical="center"/>
    </xf>
    <xf numFmtId="0" fontId="36" fillId="0" borderId="17" xfId="0" applyFont="1" applyBorder="1" applyAlignment="1" applyProtection="1">
      <alignment horizontal="center" vertical="center"/>
    </xf>
    <xf numFmtId="0" fontId="36" fillId="0" borderId="9" xfId="0" applyFont="1" applyBorder="1" applyAlignment="1" applyProtection="1">
      <alignment horizontal="center" vertical="center"/>
    </xf>
    <xf numFmtId="0" fontId="36" fillId="0" borderId="65" xfId="0" applyFont="1" applyBorder="1" applyAlignment="1" applyProtection="1">
      <alignment horizontal="left" vertical="center"/>
    </xf>
    <xf numFmtId="0" fontId="36" fillId="0" borderId="30" xfId="0" applyFont="1" applyBorder="1" applyAlignment="1" applyProtection="1">
      <alignment horizontal="left" vertical="center"/>
    </xf>
    <xf numFmtId="0" fontId="36" fillId="0" borderId="62" xfId="0" applyFont="1" applyBorder="1" applyAlignment="1" applyProtection="1">
      <alignment horizontal="left" vertical="center"/>
    </xf>
    <xf numFmtId="49" fontId="19" fillId="0" borderId="61" xfId="0" applyNumberFormat="1" applyFont="1" applyBorder="1" applyAlignment="1" applyProtection="1">
      <alignment horizontal="center" vertical="center"/>
    </xf>
    <xf numFmtId="49" fontId="19" fillId="0" borderId="30" xfId="0" applyNumberFormat="1" applyFont="1" applyBorder="1" applyAlignment="1" applyProtection="1">
      <alignment horizontal="center" vertical="center"/>
    </xf>
    <xf numFmtId="49" fontId="19" fillId="0" borderId="60" xfId="0" applyNumberFormat="1" applyFont="1" applyBorder="1" applyAlignment="1" applyProtection="1">
      <alignment horizontal="center" vertical="center"/>
    </xf>
    <xf numFmtId="49" fontId="25" fillId="0" borderId="30" xfId="0" applyNumberFormat="1" applyFont="1" applyBorder="1" applyAlignment="1" applyProtection="1">
      <alignment horizontal="center" vertical="center"/>
    </xf>
    <xf numFmtId="49" fontId="25" fillId="0" borderId="60" xfId="0" applyNumberFormat="1" applyFont="1" applyBorder="1" applyAlignment="1" applyProtection="1">
      <alignment horizontal="center" vertical="center"/>
    </xf>
    <xf numFmtId="0" fontId="7" fillId="0" borderId="8" xfId="0" applyFont="1" applyBorder="1" applyAlignment="1" applyProtection="1">
      <alignment horizontal="center" vertical="center"/>
    </xf>
    <xf numFmtId="0" fontId="7" fillId="0" borderId="17" xfId="0" applyFont="1" applyBorder="1" applyAlignment="1" applyProtection="1">
      <alignment horizontal="center" vertical="center"/>
    </xf>
    <xf numFmtId="0" fontId="7" fillId="0" borderId="9" xfId="0" applyFont="1" applyBorder="1" applyAlignment="1" applyProtection="1">
      <alignment horizontal="center" vertical="center"/>
    </xf>
    <xf numFmtId="0" fontId="37" fillId="0" borderId="61" xfId="0" applyFont="1" applyBorder="1" applyAlignment="1" applyProtection="1">
      <alignment horizontal="left" vertical="center"/>
    </xf>
    <xf numFmtId="0" fontId="37" fillId="0" borderId="30" xfId="0" applyFont="1" applyBorder="1" applyAlignment="1" applyProtection="1">
      <alignment horizontal="left" vertical="center"/>
    </xf>
    <xf numFmtId="0" fontId="37" fillId="0" borderId="60" xfId="0" applyFont="1" applyBorder="1" applyAlignment="1" applyProtection="1">
      <alignment horizontal="left" vertical="center"/>
    </xf>
    <xf numFmtId="0" fontId="37" fillId="0" borderId="60" xfId="0" applyFont="1" applyBorder="1" applyAlignment="1">
      <alignment horizontal="left"/>
    </xf>
    <xf numFmtId="0" fontId="36" fillId="0" borderId="3" xfId="0" applyFont="1" applyBorder="1" applyAlignment="1" applyProtection="1">
      <alignment horizontal="left" indent="1"/>
    </xf>
    <xf numFmtId="0" fontId="36" fillId="0" borderId="0" xfId="0" applyFont="1" applyBorder="1" applyAlignment="1" applyProtection="1">
      <alignment horizontal="left" indent="1"/>
    </xf>
    <xf numFmtId="0" fontId="36" fillId="0" borderId="4" xfId="0" applyFont="1" applyBorder="1" applyAlignment="1" applyProtection="1">
      <alignment horizontal="left" indent="1"/>
    </xf>
    <xf numFmtId="0" fontId="37" fillId="0" borderId="62" xfId="0" applyFont="1" applyBorder="1" applyAlignment="1" applyProtection="1">
      <alignment horizontal="left" vertical="center"/>
    </xf>
    <xf numFmtId="0" fontId="36" fillId="0" borderId="61" xfId="0" applyFont="1" applyBorder="1" applyAlignment="1" applyProtection="1">
      <alignment horizontal="center" vertical="center"/>
    </xf>
    <xf numFmtId="0" fontId="36" fillId="0" borderId="62" xfId="0" applyFont="1" applyBorder="1" applyAlignment="1" applyProtection="1">
      <alignment horizontal="center" vertical="center"/>
    </xf>
    <xf numFmtId="0" fontId="36" fillId="0" borderId="3" xfId="0" applyFont="1" applyBorder="1" applyAlignment="1" applyProtection="1">
      <alignment horizontal="left" vertical="center" indent="1"/>
    </xf>
    <xf numFmtId="0" fontId="36" fillId="0" borderId="0" xfId="0" applyFont="1" applyBorder="1" applyAlignment="1" applyProtection="1">
      <alignment horizontal="left" vertical="center" indent="1"/>
    </xf>
    <xf numFmtId="0" fontId="36" fillId="0" borderId="4" xfId="0" applyFont="1" applyBorder="1" applyAlignment="1" applyProtection="1">
      <alignment horizontal="left" vertical="center" indent="1"/>
    </xf>
    <xf numFmtId="0" fontId="37" fillId="0" borderId="30" xfId="0" applyFont="1" applyBorder="1" applyAlignment="1">
      <alignment horizontal="left" vertical="center"/>
    </xf>
    <xf numFmtId="0" fontId="37" fillId="0" borderId="60" xfId="0" applyFont="1" applyBorder="1" applyAlignment="1">
      <alignment horizontal="left" vertical="center"/>
    </xf>
    <xf numFmtId="0" fontId="36" fillId="0" borderId="19" xfId="0" applyFont="1" applyBorder="1" applyAlignment="1" applyProtection="1">
      <alignment horizontal="left" indent="1"/>
    </xf>
    <xf numFmtId="0" fontId="39" fillId="0" borderId="5" xfId="0" applyFont="1" applyBorder="1" applyAlignment="1" applyProtection="1">
      <alignment horizontal="left" indent="1"/>
    </xf>
    <xf numFmtId="0" fontId="39" fillId="0" borderId="6" xfId="0" applyFont="1" applyBorder="1" applyAlignment="1" applyProtection="1">
      <alignment horizontal="left" indent="1"/>
    </xf>
    <xf numFmtId="0" fontId="36" fillId="0" borderId="61" xfId="0" applyFont="1" applyBorder="1" applyAlignment="1" applyProtection="1">
      <alignment horizontal="left" vertical="center"/>
    </xf>
    <xf numFmtId="18" fontId="37" fillId="0" borderId="61" xfId="0" applyNumberFormat="1" applyFont="1" applyBorder="1" applyAlignment="1" applyProtection="1">
      <alignment horizontal="left" vertical="center"/>
    </xf>
    <xf numFmtId="0" fontId="36" fillId="0" borderId="20" xfId="0" applyFont="1" applyBorder="1" applyAlignment="1" applyProtection="1">
      <alignment horizontal="left" vertical="center" indent="1"/>
    </xf>
    <xf numFmtId="15" fontId="31" fillId="0" borderId="0" xfId="0" applyNumberFormat="1" applyFont="1" applyBorder="1" applyAlignment="1">
      <alignment horizontal="left" vertical="center" indent="1"/>
    </xf>
    <xf numFmtId="18" fontId="25" fillId="0" borderId="0" xfId="0" applyNumberFormat="1" applyFont="1" applyBorder="1" applyAlignment="1" applyProtection="1">
      <alignment horizontal="left" vertical="center" indent="1"/>
    </xf>
    <xf numFmtId="18" fontId="25" fillId="0" borderId="70" xfId="0" applyNumberFormat="1" applyFont="1" applyBorder="1" applyAlignment="1" applyProtection="1">
      <alignment horizontal="left" vertical="center" indent="1"/>
    </xf>
    <xf numFmtId="0" fontId="25" fillId="0" borderId="68" xfId="0" applyFont="1" applyBorder="1" applyAlignment="1" applyProtection="1">
      <alignment horizontal="left" vertical="center" indent="1"/>
    </xf>
    <xf numFmtId="0" fontId="25" fillId="0" borderId="66" xfId="0" applyFont="1" applyBorder="1" applyAlignment="1" applyProtection="1">
      <alignment horizontal="left" vertical="center" indent="1"/>
    </xf>
    <xf numFmtId="0" fontId="25" fillId="0" borderId="67" xfId="0" applyFont="1" applyBorder="1" applyAlignment="1" applyProtection="1">
      <alignment horizontal="left" vertical="center" indent="1"/>
    </xf>
    <xf numFmtId="0" fontId="40" fillId="0" borderId="1" xfId="0" applyFont="1" applyBorder="1" applyAlignment="1" applyProtection="1">
      <alignment horizontal="left" vertical="center" indent="1"/>
    </xf>
    <xf numFmtId="0" fontId="40" fillId="0" borderId="2" xfId="0" applyFont="1" applyBorder="1" applyAlignment="1" applyProtection="1">
      <alignment horizontal="left" vertical="center" indent="1"/>
    </xf>
    <xf numFmtId="0" fontId="40" fillId="0" borderId="71" xfId="0" applyFont="1" applyBorder="1" applyAlignment="1" applyProtection="1">
      <alignment horizontal="left" vertical="center" indent="1"/>
    </xf>
    <xf numFmtId="0" fontId="31" fillId="0" borderId="0" xfId="0" applyFont="1" applyBorder="1" applyAlignment="1">
      <alignment horizontal="left" vertical="center" indent="1"/>
    </xf>
    <xf numFmtId="0" fontId="31" fillId="0" borderId="4" xfId="0" applyFont="1" applyBorder="1" applyAlignment="1">
      <alignment horizontal="left" vertical="center" indent="1"/>
    </xf>
    <xf numFmtId="49" fontId="31" fillId="0" borderId="19" xfId="0" applyNumberFormat="1" applyFont="1" applyBorder="1" applyAlignment="1" applyProtection="1">
      <alignment horizontal="center" vertical="center" wrapText="1"/>
    </xf>
    <xf numFmtId="49" fontId="31" fillId="0" borderId="5" xfId="0" applyNumberFormat="1" applyFont="1" applyBorder="1" applyAlignment="1" applyProtection="1">
      <alignment horizontal="center" vertical="center" wrapText="1"/>
    </xf>
    <xf numFmtId="49" fontId="31" fillId="0" borderId="6" xfId="0" applyNumberFormat="1" applyFont="1" applyBorder="1" applyAlignment="1" applyProtection="1">
      <alignment horizontal="center" vertical="center" wrapText="1"/>
    </xf>
    <xf numFmtId="0" fontId="6" fillId="0" borderId="3" xfId="0" applyFont="1" applyBorder="1" applyAlignment="1" applyProtection="1">
      <alignment horizontal="left" vertical="center" indent="1"/>
    </xf>
    <xf numFmtId="0" fontId="6" fillId="0" borderId="0" xfId="0" applyFont="1" applyBorder="1" applyAlignment="1" applyProtection="1">
      <alignment horizontal="left" vertical="center" indent="1"/>
    </xf>
    <xf numFmtId="0" fontId="6" fillId="0" borderId="4" xfId="0" applyFont="1" applyBorder="1" applyAlignment="1" applyProtection="1">
      <alignment horizontal="left" vertical="center" indent="1"/>
    </xf>
    <xf numFmtId="49" fontId="31" fillId="0" borderId="68" xfId="0" applyNumberFormat="1" applyFont="1" applyBorder="1" applyAlignment="1" applyProtection="1">
      <alignment horizontal="left" vertical="center" wrapText="1" indent="1"/>
    </xf>
    <xf numFmtId="0" fontId="0" fillId="0" borderId="66" xfId="0" applyBorder="1" applyAlignment="1">
      <alignment horizontal="left" vertical="center" wrapText="1" indent="1"/>
    </xf>
    <xf numFmtId="0" fontId="0" fillId="0" borderId="67" xfId="0" applyBorder="1" applyAlignment="1">
      <alignment horizontal="left" vertical="center" wrapText="1" indent="1"/>
    </xf>
    <xf numFmtId="0" fontId="40" fillId="0" borderId="64" xfId="0" applyFont="1" applyBorder="1" applyAlignment="1" applyProtection="1">
      <alignment horizontal="left" vertical="center" indent="1"/>
    </xf>
    <xf numFmtId="0" fontId="36" fillId="0" borderId="20" xfId="0" applyFont="1" applyBorder="1" applyAlignment="1" applyProtection="1">
      <alignment horizontal="left" vertical="top" indent="1"/>
    </xf>
    <xf numFmtId="0" fontId="36" fillId="0" borderId="0" xfId="0" applyFont="1" applyBorder="1" applyAlignment="1" applyProtection="1">
      <alignment horizontal="left" vertical="top" indent="1"/>
    </xf>
    <xf numFmtId="0" fontId="36" fillId="0" borderId="4" xfId="0" applyFont="1" applyBorder="1" applyAlignment="1" applyProtection="1">
      <alignment horizontal="left" vertical="top" indent="1"/>
    </xf>
    <xf numFmtId="0" fontId="0" fillId="0" borderId="44" xfId="0" applyBorder="1" applyAlignment="1" applyProtection="1">
      <alignment horizontal="left"/>
    </xf>
    <xf numFmtId="0" fontId="0" fillId="0" borderId="29" xfId="0" applyBorder="1" applyAlignment="1" applyProtection="1">
      <alignment horizontal="left"/>
    </xf>
    <xf numFmtId="0" fontId="0" fillId="0" borderId="45" xfId="0" applyBorder="1" applyAlignment="1" applyProtection="1">
      <alignment horizontal="left"/>
    </xf>
    <xf numFmtId="0" fontId="40" fillId="0" borderId="3" xfId="0" applyFont="1" applyBorder="1" applyAlignment="1" applyProtection="1">
      <alignment horizontal="center" vertical="center" wrapText="1"/>
    </xf>
    <xf numFmtId="0" fontId="40" fillId="0" borderId="0" xfId="0" applyFont="1" applyBorder="1" applyAlignment="1" applyProtection="1">
      <alignment horizontal="center" vertical="center" wrapText="1"/>
    </xf>
    <xf numFmtId="0" fontId="40" fillId="0" borderId="4" xfId="0" applyFont="1" applyBorder="1" applyAlignment="1" applyProtection="1">
      <alignment horizontal="center" vertical="center" wrapText="1"/>
    </xf>
    <xf numFmtId="0" fontId="40" fillId="0" borderId="44" xfId="0" applyFont="1" applyBorder="1" applyAlignment="1">
      <alignment horizontal="center" wrapText="1"/>
    </xf>
    <xf numFmtId="0" fontId="40" fillId="0" borderId="29" xfId="0" applyFont="1" applyBorder="1" applyAlignment="1">
      <alignment horizontal="center" wrapText="1"/>
    </xf>
    <xf numFmtId="0" fontId="40" fillId="0" borderId="45" xfId="0" applyFont="1" applyBorder="1" applyAlignment="1">
      <alignment horizontal="center" wrapText="1"/>
    </xf>
    <xf numFmtId="18" fontId="31" fillId="0" borderId="0" xfId="0" applyNumberFormat="1" applyFont="1" applyBorder="1" applyAlignment="1">
      <alignment horizontal="left" vertical="center"/>
    </xf>
    <xf numFmtId="18" fontId="31" fillId="0" borderId="4" xfId="0" applyNumberFormat="1" applyFont="1" applyBorder="1" applyAlignment="1">
      <alignment horizontal="left" vertical="center"/>
    </xf>
    <xf numFmtId="0" fontId="8" fillId="0" borderId="3" xfId="0" applyFont="1" applyBorder="1" applyAlignment="1" applyProtection="1">
      <alignment horizontal="left" vertical="center" indent="1"/>
    </xf>
    <xf numFmtId="0" fontId="8" fillId="0" borderId="0" xfId="0" applyFont="1" applyBorder="1" applyAlignment="1" applyProtection="1">
      <alignment horizontal="left" vertical="center" indent="1"/>
    </xf>
    <xf numFmtId="0" fontId="8" fillId="0" borderId="4" xfId="0" applyFont="1" applyBorder="1" applyAlignment="1" applyProtection="1">
      <alignment horizontal="left" vertical="center" indent="1"/>
    </xf>
    <xf numFmtId="0" fontId="42" fillId="0" borderId="1" xfId="0" applyFont="1" applyBorder="1" applyAlignment="1" applyProtection="1">
      <alignment horizontal="center" vertical="center" wrapText="1"/>
    </xf>
    <xf numFmtId="0" fontId="42" fillId="0" borderId="2" xfId="0" applyFont="1" applyBorder="1" applyAlignment="1" applyProtection="1">
      <alignment horizontal="center" vertical="center" wrapText="1"/>
    </xf>
    <xf numFmtId="0" fontId="42" fillId="0" borderId="64" xfId="0" applyFont="1" applyBorder="1" applyAlignment="1" applyProtection="1">
      <alignment horizontal="center" vertical="center" wrapText="1"/>
    </xf>
    <xf numFmtId="0" fontId="25" fillId="0" borderId="3" xfId="0" applyFont="1" applyBorder="1" applyAlignment="1" applyProtection="1">
      <alignment horizontal="left" vertical="top" wrapText="1"/>
    </xf>
    <xf numFmtId="0" fontId="25" fillId="0" borderId="0" xfId="0" applyFont="1" applyBorder="1" applyAlignment="1" applyProtection="1">
      <alignment horizontal="left" vertical="top" wrapText="1"/>
    </xf>
    <xf numFmtId="0" fontId="6" fillId="0" borderId="73" xfId="0" applyFont="1" applyBorder="1" applyAlignment="1">
      <alignment horizontal="left" vertical="center"/>
    </xf>
    <xf numFmtId="0" fontId="6" fillId="0" borderId="72" xfId="0" applyFont="1" applyBorder="1" applyAlignment="1">
      <alignment horizontal="left" vertical="center"/>
    </xf>
    <xf numFmtId="0" fontId="8" fillId="0" borderId="66" xfId="0" applyFont="1" applyBorder="1" applyAlignment="1">
      <alignment horizontal="center" vertical="center"/>
    </xf>
    <xf numFmtId="0" fontId="0" fillId="0" borderId="66" xfId="0" applyBorder="1" applyAlignment="1" applyProtection="1">
      <alignment horizontal="center"/>
    </xf>
    <xf numFmtId="0" fontId="0" fillId="0" borderId="66" xfId="0" applyBorder="1" applyAlignment="1">
      <alignment horizontal="center" vertical="center" wrapText="1"/>
    </xf>
    <xf numFmtId="0" fontId="0" fillId="0" borderId="67" xfId="0" applyBorder="1" applyAlignment="1">
      <alignment horizontal="center" vertical="center" wrapText="1"/>
    </xf>
    <xf numFmtId="0" fontId="35" fillId="0" borderId="1" xfId="0" applyFont="1" applyBorder="1" applyAlignment="1" applyProtection="1">
      <alignment horizontal="left" vertical="center" indent="1"/>
    </xf>
    <xf numFmtId="0" fontId="35" fillId="0" borderId="2" xfId="0" applyFont="1" applyBorder="1" applyAlignment="1" applyProtection="1">
      <alignment horizontal="left" vertical="center" indent="1"/>
    </xf>
    <xf numFmtId="0" fontId="35" fillId="0" borderId="64" xfId="0" applyFont="1" applyBorder="1" applyAlignment="1" applyProtection="1">
      <alignment horizontal="left" vertical="center" indent="1"/>
    </xf>
    <xf numFmtId="49" fontId="31" fillId="0" borderId="66" xfId="0" applyNumberFormat="1" applyFont="1" applyBorder="1" applyAlignment="1" applyProtection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36" fillId="0" borderId="19" xfId="0" applyFont="1" applyBorder="1" applyAlignment="1">
      <alignment horizontal="center" vertical="center"/>
    </xf>
    <xf numFmtId="0" fontId="36" fillId="0" borderId="5" xfId="0" applyFont="1" applyBorder="1" applyAlignment="1">
      <alignment horizontal="center" vertical="center"/>
    </xf>
    <xf numFmtId="0" fontId="43" fillId="8" borderId="22" xfId="0" applyFont="1" applyFill="1" applyBorder="1" applyAlignment="1">
      <alignment textRotation="69" wrapText="1"/>
    </xf>
    <xf numFmtId="0" fontId="44" fillId="8" borderId="35" xfId="0" applyFont="1" applyFill="1" applyBorder="1" applyAlignment="1">
      <alignment textRotation="69"/>
    </xf>
  </cellXfs>
  <cellStyles count="5">
    <cellStyle name="40% - Accent3" xfId="1" builtinId="39"/>
    <cellStyle name="40% - Accent5" xfId="2" builtinId="47"/>
    <cellStyle name="Good" xfId="3" builtinId="26"/>
    <cellStyle name="Hyperlink" xfId="4" builtinId="8"/>
    <cellStyle name="Normal" xfId="0" builtinId="0"/>
  </cellStyles>
  <dxfs count="68"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fill>
        <patternFill patternType="solid">
          <fgColor indexed="57"/>
          <bgColor indexed="57"/>
        </patternFill>
      </fill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medium">
          <color indexed="57"/>
        </left>
        <right style="thin">
          <color indexed="57"/>
        </right>
        <top style="thin">
          <color indexed="57"/>
        </top>
        <bottom/>
      </border>
    </dxf>
    <dxf>
      <border outline="0">
        <right style="thin">
          <color indexed="57"/>
        </right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1"/>
        <name val="Arial"/>
        <scheme val="none"/>
      </font>
      <fill>
        <patternFill patternType="solid">
          <fgColor indexed="64"/>
          <bgColor indexed="17"/>
        </patternFill>
      </fill>
      <alignment horizontal="general" vertical="bottom" textRotation="69" wrapText="0" indent="0" justifyLastLine="0" shrinkToFit="0" readingOrder="0"/>
      <border diagonalUp="0" diagonalDown="0" outline="0">
        <left style="thin">
          <color indexed="57"/>
        </left>
        <right style="thin">
          <color indexed="57"/>
        </right>
        <top/>
        <bottom/>
      </border>
    </dxf>
  </dxfs>
  <tableStyles count="0" defaultTableStyle="TableStyleMedium9" defaultPivotStyle="PivotStyleLight16"/>
  <colors>
    <mruColors>
      <color rgb="FF000099"/>
      <color rgb="FFFF66FF"/>
      <color rgb="FFCC6600"/>
      <color rgb="FFFF6600"/>
      <color rgb="FFFF00FF"/>
      <color rgb="FFFF7C80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6" Type="http://schemas.openxmlformats.org/officeDocument/2006/relationships/image" Target="../media/image33.emf"/><Relationship Id="rId5" Type="http://schemas.openxmlformats.org/officeDocument/2006/relationships/image" Target="../media/image32.emf"/><Relationship Id="rId4" Type="http://schemas.openxmlformats.org/officeDocument/2006/relationships/image" Target="../media/image3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630881</xdr:colOff>
      <xdr:row>36</xdr:row>
      <xdr:rowOff>20569</xdr:rowOff>
    </xdr:from>
    <xdr:to>
      <xdr:col>19</xdr:col>
      <xdr:colOff>320210</xdr:colOff>
      <xdr:row>42</xdr:row>
      <xdr:rowOff>30746</xdr:rowOff>
    </xdr:to>
    <xdr:sp macro="" textlink="">
      <xdr:nvSpPr>
        <xdr:cNvPr id="7222" name="WordArt 1078"/>
        <xdr:cNvSpPr>
          <a:spLocks noChangeArrowheads="1" noChangeShapeType="1" noTextEdit="1"/>
        </xdr:cNvSpPr>
      </xdr:nvSpPr>
      <xdr:spPr bwMode="auto">
        <a:xfrm rot="-1815702">
          <a:off x="630881" y="6592819"/>
          <a:ext cx="8247175" cy="1006639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AU" sz="3600" kern="10" spc="0">
              <a:ln w="0" cap="rnd">
                <a:noFill/>
                <a:prstDash val="sysDot"/>
                <a:round/>
                <a:headEnd/>
                <a:tailEnd/>
              </a:ln>
              <a:solidFill>
                <a:srgbClr val="FF0000">
                  <a:alpha val="35001"/>
                </a:srgbClr>
              </a:solidFill>
              <a:effectLst/>
              <a:latin typeface="Arial Black"/>
            </a:rPr>
            <a:t>UNDER QUARANTINE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34</xdr:row>
          <xdr:rowOff>22860</xdr:rowOff>
        </xdr:from>
        <xdr:to>
          <xdr:col>3</xdr:col>
          <xdr:colOff>228600</xdr:colOff>
          <xdr:row>35</xdr:row>
          <xdr:rowOff>0</xdr:rowOff>
        </xdr:to>
        <xdr:sp macro="" textlink="">
          <xdr:nvSpPr>
            <xdr:cNvPr id="1048" name="chkNoCert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297180</xdr:colOff>
          <xdr:row>34</xdr:row>
          <xdr:rowOff>22860</xdr:rowOff>
        </xdr:from>
        <xdr:to>
          <xdr:col>8</xdr:col>
          <xdr:colOff>320040</xdr:colOff>
          <xdr:row>35</xdr:row>
          <xdr:rowOff>0</xdr:rowOff>
        </xdr:to>
        <xdr:sp macro="" textlink="">
          <xdr:nvSpPr>
            <xdr:cNvPr id="1250" name="chkNoLabelling" hidden="1">
              <a:extLst>
                <a:ext uri="{63B3BB69-23CF-44E3-9099-C40C66FF867C}">
                  <a14:compatExt spid="_x0000_s1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350520</xdr:colOff>
          <xdr:row>34</xdr:row>
          <xdr:rowOff>22860</xdr:rowOff>
        </xdr:from>
        <xdr:to>
          <xdr:col>12</xdr:col>
          <xdr:colOff>175260</xdr:colOff>
          <xdr:row>35</xdr:row>
          <xdr:rowOff>0</xdr:rowOff>
        </xdr:to>
        <xdr:sp macro="" textlink="">
          <xdr:nvSpPr>
            <xdr:cNvPr id="1251" name="chkNoManifest" hidden="1">
              <a:extLst>
                <a:ext uri="{63B3BB69-23CF-44E3-9099-C40C66FF867C}">
                  <a14:compatExt spid="_x0000_s1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175260</xdr:colOff>
          <xdr:row>34</xdr:row>
          <xdr:rowOff>22860</xdr:rowOff>
        </xdr:from>
        <xdr:to>
          <xdr:col>16</xdr:col>
          <xdr:colOff>243840</xdr:colOff>
          <xdr:row>35</xdr:row>
          <xdr:rowOff>0</xdr:rowOff>
        </xdr:to>
        <xdr:sp macro="" textlink="">
          <xdr:nvSpPr>
            <xdr:cNvPr id="1252" name="chkOther" hidden="1">
              <a:extLst>
                <a:ext uri="{63B3BB69-23CF-44E3-9099-C40C66FF867C}">
                  <a14:compatExt spid="_x0000_s1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152400</xdr:rowOff>
        </xdr:from>
        <xdr:to>
          <xdr:col>3</xdr:col>
          <xdr:colOff>182880</xdr:colOff>
          <xdr:row>2</xdr:row>
          <xdr:rowOff>76200</xdr:rowOff>
        </xdr:to>
        <xdr:sp macro="" textlink="">
          <xdr:nvSpPr>
            <xdr:cNvPr id="1254" name="cmdNew" hidden="1">
              <a:extLst>
                <a:ext uri="{63B3BB69-23CF-44E3-9099-C40C66FF867C}">
                  <a14:compatExt spid="_x0000_s1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601980</xdr:colOff>
          <xdr:row>4</xdr:row>
          <xdr:rowOff>91440</xdr:rowOff>
        </xdr:to>
        <xdr:sp macro="" textlink="">
          <xdr:nvSpPr>
            <xdr:cNvPr id="1255" name="cmdMoveFirst" hidden="1">
              <a:extLst>
                <a:ext uri="{63B3BB69-23CF-44E3-9099-C40C66FF867C}">
                  <a14:compatExt spid="_x0000_s1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0</xdr:rowOff>
        </xdr:from>
        <xdr:to>
          <xdr:col>6</xdr:col>
          <xdr:colOff>0</xdr:colOff>
          <xdr:row>4</xdr:row>
          <xdr:rowOff>99060</xdr:rowOff>
        </xdr:to>
        <xdr:sp macro="" textlink="">
          <xdr:nvSpPr>
            <xdr:cNvPr id="1256" name="cmdMoveForward" hidden="1">
              <a:extLst>
                <a:ext uri="{63B3BB69-23CF-44E3-9099-C40C66FF867C}">
                  <a14:compatExt spid="_x0000_s1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327660</xdr:colOff>
          <xdr:row>3</xdr:row>
          <xdr:rowOff>7620</xdr:rowOff>
        </xdr:from>
        <xdr:to>
          <xdr:col>4</xdr:col>
          <xdr:colOff>99060</xdr:colOff>
          <xdr:row>4</xdr:row>
          <xdr:rowOff>99060</xdr:rowOff>
        </xdr:to>
        <xdr:sp macro="" textlink="">
          <xdr:nvSpPr>
            <xdr:cNvPr id="1257" name="cmdMoveBack" hidden="1">
              <a:extLst>
                <a:ext uri="{63B3BB69-23CF-44E3-9099-C40C66FF867C}">
                  <a14:compatExt spid="_x0000_s1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106680</xdr:colOff>
          <xdr:row>3</xdr:row>
          <xdr:rowOff>7620</xdr:rowOff>
        </xdr:from>
        <xdr:to>
          <xdr:col>7</xdr:col>
          <xdr:colOff>327660</xdr:colOff>
          <xdr:row>4</xdr:row>
          <xdr:rowOff>91440</xdr:rowOff>
        </xdr:to>
        <xdr:sp macro="" textlink="">
          <xdr:nvSpPr>
            <xdr:cNvPr id="1258" name="cmdMoveLast" hidden="1">
              <a:extLst>
                <a:ext uri="{63B3BB69-23CF-44E3-9099-C40C66FF867C}">
                  <a14:compatExt spid="_x0000_s1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213360</xdr:colOff>
          <xdr:row>58</xdr:row>
          <xdr:rowOff>22860</xdr:rowOff>
        </xdr:from>
        <xdr:to>
          <xdr:col>3</xdr:col>
          <xdr:colOff>327660</xdr:colOff>
          <xdr:row>59</xdr:row>
          <xdr:rowOff>15240</xdr:rowOff>
        </xdr:to>
        <xdr:sp macro="" textlink="">
          <xdr:nvSpPr>
            <xdr:cNvPr id="1449" name="chkReleased" hidden="1">
              <a:extLst>
                <a:ext uri="{63B3BB69-23CF-44E3-9099-C40C66FF867C}">
                  <a14:compatExt spid="_x0000_s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58</xdr:row>
          <xdr:rowOff>22860</xdr:rowOff>
        </xdr:from>
        <xdr:to>
          <xdr:col>8</xdr:col>
          <xdr:colOff>175260</xdr:colOff>
          <xdr:row>59</xdr:row>
          <xdr:rowOff>7620</xdr:rowOff>
        </xdr:to>
        <xdr:sp macro="" textlink="">
          <xdr:nvSpPr>
            <xdr:cNvPr id="1450" name="chkRedirected" hidden="1">
              <a:extLst>
                <a:ext uri="{63B3BB69-23CF-44E3-9099-C40C66FF867C}">
                  <a14:compatExt spid="_x0000_s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</xdr:colOff>
          <xdr:row>58</xdr:row>
          <xdr:rowOff>22860</xdr:rowOff>
        </xdr:from>
        <xdr:to>
          <xdr:col>12</xdr:col>
          <xdr:colOff>83820</xdr:colOff>
          <xdr:row>59</xdr:row>
          <xdr:rowOff>7620</xdr:rowOff>
        </xdr:to>
        <xdr:sp macro="" textlink="">
          <xdr:nvSpPr>
            <xdr:cNvPr id="1451" name="chkForDestruction" hidden="1">
              <a:extLst>
                <a:ext uri="{63B3BB69-23CF-44E3-9099-C40C66FF867C}">
                  <a14:compatExt spid="_x0000_s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83820</xdr:colOff>
          <xdr:row>58</xdr:row>
          <xdr:rowOff>22860</xdr:rowOff>
        </xdr:from>
        <xdr:to>
          <xdr:col>16</xdr:col>
          <xdr:colOff>175260</xdr:colOff>
          <xdr:row>59</xdr:row>
          <xdr:rowOff>7620</xdr:rowOff>
        </xdr:to>
        <xdr:sp macro="" textlink="">
          <xdr:nvSpPr>
            <xdr:cNvPr id="1452" name="chkOtherAction" hidden="1">
              <a:extLst>
                <a:ext uri="{63B3BB69-23CF-44E3-9099-C40C66FF867C}">
                  <a14:compatExt spid="_x0000_s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152400</xdr:rowOff>
        </xdr:from>
        <xdr:to>
          <xdr:col>7</xdr:col>
          <xdr:colOff>342900</xdr:colOff>
          <xdr:row>2</xdr:row>
          <xdr:rowOff>76200</xdr:rowOff>
        </xdr:to>
        <xdr:sp macro="" textlink="">
          <xdr:nvSpPr>
            <xdr:cNvPr id="1497" name="cmdEdit" hidden="1">
              <a:extLst>
                <a:ext uri="{63B3BB69-23CF-44E3-9099-C40C66FF867C}">
                  <a14:compatExt spid="_x0000_s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365760</xdr:colOff>
          <xdr:row>3</xdr:row>
          <xdr:rowOff>7620</xdr:rowOff>
        </xdr:from>
        <xdr:to>
          <xdr:col>13</xdr:col>
          <xdr:colOff>358140</xdr:colOff>
          <xdr:row>4</xdr:row>
          <xdr:rowOff>99060</xdr:rowOff>
        </xdr:to>
        <xdr:sp macro="" textlink="">
          <xdr:nvSpPr>
            <xdr:cNvPr id="1693" name="cmdQuickPrint" hidden="1">
              <a:extLst>
                <a:ext uri="{63B3BB69-23CF-44E3-9099-C40C66FF867C}">
                  <a14:compatExt spid="_x0000_s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350520</xdr:colOff>
          <xdr:row>2</xdr:row>
          <xdr:rowOff>152400</xdr:rowOff>
        </xdr:from>
        <xdr:to>
          <xdr:col>33</xdr:col>
          <xdr:colOff>251460</xdr:colOff>
          <xdr:row>4</xdr:row>
          <xdr:rowOff>83820</xdr:rowOff>
        </xdr:to>
        <xdr:sp macro="" textlink="">
          <xdr:nvSpPr>
            <xdr:cNvPr id="1639" name="cmdTruckSheet" hidden="1">
              <a:extLst>
                <a:ext uri="{63B3BB69-23CF-44E3-9099-C40C66FF867C}">
                  <a14:compatExt spid="_x0000_s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403860</xdr:colOff>
          <xdr:row>0</xdr:row>
          <xdr:rowOff>152400</xdr:rowOff>
        </xdr:from>
        <xdr:to>
          <xdr:col>10</xdr:col>
          <xdr:colOff>297180</xdr:colOff>
          <xdr:row>2</xdr:row>
          <xdr:rowOff>76200</xdr:rowOff>
        </xdr:to>
        <xdr:sp macro="" textlink="">
          <xdr:nvSpPr>
            <xdr:cNvPr id="1695" name="cmdPrintSheet" hidden="1">
              <a:extLst>
                <a:ext uri="{63B3BB69-23CF-44E3-9099-C40C66FF867C}">
                  <a14:compatExt spid="_x0000_s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403860</xdr:colOff>
          <xdr:row>3</xdr:row>
          <xdr:rowOff>7620</xdr:rowOff>
        </xdr:from>
        <xdr:to>
          <xdr:col>10</xdr:col>
          <xdr:colOff>297180</xdr:colOff>
          <xdr:row>4</xdr:row>
          <xdr:rowOff>99060</xdr:rowOff>
        </xdr:to>
        <xdr:sp macro="" textlink="">
          <xdr:nvSpPr>
            <xdr:cNvPr id="1712" name="cmdPrintPreview" hidden="1">
              <a:extLst>
                <a:ext uri="{63B3BB69-23CF-44E3-9099-C40C66FF867C}">
                  <a14:compatExt spid="_x0000_s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365760</xdr:colOff>
          <xdr:row>0</xdr:row>
          <xdr:rowOff>152400</xdr:rowOff>
        </xdr:from>
        <xdr:to>
          <xdr:col>13</xdr:col>
          <xdr:colOff>358140</xdr:colOff>
          <xdr:row>2</xdr:row>
          <xdr:rowOff>76200</xdr:rowOff>
        </xdr:to>
        <xdr:sp macro="" textlink="">
          <xdr:nvSpPr>
            <xdr:cNvPr id="1713" name="cmdExit" hidden="1">
              <a:extLst>
                <a:ext uri="{63B3BB69-23CF-44E3-9099-C40C66FF867C}">
                  <a14:compatExt spid="_x0000_s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83820</xdr:colOff>
          <xdr:row>3</xdr:row>
          <xdr:rowOff>7620</xdr:rowOff>
        </xdr:from>
        <xdr:to>
          <xdr:col>17</xdr:col>
          <xdr:colOff>30480</xdr:colOff>
          <xdr:row>4</xdr:row>
          <xdr:rowOff>99060</xdr:rowOff>
        </xdr:to>
        <xdr:sp macro="" textlink="">
          <xdr:nvSpPr>
            <xdr:cNvPr id="1778" name="cmdEmail" hidden="1">
              <a:extLst>
                <a:ext uri="{63B3BB69-23CF-44E3-9099-C40C66FF867C}">
                  <a14:compatExt spid="_x0000_s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83820</xdr:colOff>
          <xdr:row>0</xdr:row>
          <xdr:rowOff>152400</xdr:rowOff>
        </xdr:from>
        <xdr:to>
          <xdr:col>17</xdr:col>
          <xdr:colOff>30480</xdr:colOff>
          <xdr:row>2</xdr:row>
          <xdr:rowOff>76200</xdr:rowOff>
        </xdr:to>
        <xdr:sp macro="" textlink="">
          <xdr:nvSpPr>
            <xdr:cNvPr id="1779" name="cmdSaveAs" hidden="1">
              <a:extLst>
                <a:ext uri="{63B3BB69-23CF-44E3-9099-C40C66FF867C}">
                  <a14:compatExt spid="_x0000_s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95250</xdr:colOff>
      <xdr:row>6</xdr:row>
      <xdr:rowOff>102578</xdr:rowOff>
    </xdr:from>
    <xdr:to>
      <xdr:col>6</xdr:col>
      <xdr:colOff>256442</xdr:colOff>
      <xdr:row>10</xdr:row>
      <xdr:rowOff>65942</xdr:rowOff>
    </xdr:to>
    <xdr:pic>
      <xdr:nvPicPr>
        <xdr:cNvPr id="25" name="Picture 24" descr="F:\Lexar as at 18 09 11\Admin\Logo's\BiosecuritySA_col_h.jpg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89135" y="1238251"/>
          <a:ext cx="2410557" cy="56417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40</xdr:row>
          <xdr:rowOff>152400</xdr:rowOff>
        </xdr:from>
        <xdr:to>
          <xdr:col>5</xdr:col>
          <xdr:colOff>91440</xdr:colOff>
          <xdr:row>42</xdr:row>
          <xdr:rowOff>45720</xdr:rowOff>
        </xdr:to>
        <xdr:sp macro="" textlink="">
          <xdr:nvSpPr>
            <xdr:cNvPr id="1781" name="chkTransporterDepot" hidden="1">
              <a:extLst>
                <a:ext uri="{63B3BB69-23CF-44E3-9099-C40C66FF867C}">
                  <a14:compatExt spid="_x0000_s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40</xdr:row>
          <xdr:rowOff>152400</xdr:rowOff>
        </xdr:from>
        <xdr:to>
          <xdr:col>13</xdr:col>
          <xdr:colOff>160020</xdr:colOff>
          <xdr:row>42</xdr:row>
          <xdr:rowOff>45720</xdr:rowOff>
        </xdr:to>
        <xdr:sp macro="" textlink="">
          <xdr:nvSpPr>
            <xdr:cNvPr id="1783" name="chkConsAddress" hidden="1">
              <a:extLst>
                <a:ext uri="{63B3BB69-23CF-44E3-9099-C40C66FF867C}">
                  <a14:compatExt spid="_x0000_s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289560</xdr:colOff>
          <xdr:row>41</xdr:row>
          <xdr:rowOff>0</xdr:rowOff>
        </xdr:from>
        <xdr:to>
          <xdr:col>17</xdr:col>
          <xdr:colOff>205740</xdr:colOff>
          <xdr:row>42</xdr:row>
          <xdr:rowOff>60960</xdr:rowOff>
        </xdr:to>
        <xdr:sp macro="" textlink="">
          <xdr:nvSpPr>
            <xdr:cNvPr id="1785" name="chkOtherDirection" hidden="1">
              <a:extLst>
                <a:ext uri="{63B3BB69-23CF-44E3-9099-C40C66FF867C}">
                  <a14:compatExt spid="_x0000_s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</xdr:row>
          <xdr:rowOff>0</xdr:rowOff>
        </xdr:from>
        <xdr:to>
          <xdr:col>5</xdr:col>
          <xdr:colOff>259080</xdr:colOff>
          <xdr:row>2</xdr:row>
          <xdr:rowOff>137160</xdr:rowOff>
        </xdr:to>
        <xdr:sp macro="" textlink="">
          <xdr:nvSpPr>
            <xdr:cNvPr id="2051" name="cmdGoToDOrder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</xdr:row>
          <xdr:rowOff>38100</xdr:rowOff>
        </xdr:from>
        <xdr:to>
          <xdr:col>1</xdr:col>
          <xdr:colOff>1699260</xdr:colOff>
          <xdr:row>2</xdr:row>
          <xdr:rowOff>137160</xdr:rowOff>
        </xdr:to>
        <xdr:sp macro="" textlink="">
          <xdr:nvSpPr>
            <xdr:cNvPr id="4098" name="cmdGoToDOrder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579120</xdr:colOff>
          <xdr:row>0</xdr:row>
          <xdr:rowOff>137160</xdr:rowOff>
        </xdr:from>
        <xdr:to>
          <xdr:col>2</xdr:col>
          <xdr:colOff>213360</xdr:colOff>
          <xdr:row>2</xdr:row>
          <xdr:rowOff>45720</xdr:rowOff>
        </xdr:to>
        <xdr:sp macro="" textlink="">
          <xdr:nvSpPr>
            <xdr:cNvPr id="3073" name="cmdAddCompany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754380</xdr:colOff>
          <xdr:row>0</xdr:row>
          <xdr:rowOff>137160</xdr:rowOff>
        </xdr:from>
        <xdr:to>
          <xdr:col>3</xdr:col>
          <xdr:colOff>998220</xdr:colOff>
          <xdr:row>2</xdr:row>
          <xdr:rowOff>45720</xdr:rowOff>
        </xdr:to>
        <xdr:sp macro="" textlink="">
          <xdr:nvSpPr>
            <xdr:cNvPr id="3074" name="cmdGoToDOrders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274320</xdr:colOff>
          <xdr:row>0</xdr:row>
          <xdr:rowOff>137160</xdr:rowOff>
        </xdr:from>
        <xdr:to>
          <xdr:col>5</xdr:col>
          <xdr:colOff>518160</xdr:colOff>
          <xdr:row>2</xdr:row>
          <xdr:rowOff>38100</xdr:rowOff>
        </xdr:to>
        <xdr:sp macro="" textlink="">
          <xdr:nvSpPr>
            <xdr:cNvPr id="3076" name="cmdGoToDetail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1051560</xdr:colOff>
          <xdr:row>0</xdr:row>
          <xdr:rowOff>137160</xdr:rowOff>
        </xdr:from>
        <xdr:to>
          <xdr:col>7</xdr:col>
          <xdr:colOff>15240</xdr:colOff>
          <xdr:row>2</xdr:row>
          <xdr:rowOff>45720</xdr:rowOff>
        </xdr:to>
        <xdr:sp macro="" textlink="">
          <xdr:nvSpPr>
            <xdr:cNvPr id="3077" name="cmdGoToData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0</xdr:row>
          <xdr:rowOff>137160</xdr:rowOff>
        </xdr:from>
        <xdr:to>
          <xdr:col>9</xdr:col>
          <xdr:colOff>289560</xdr:colOff>
          <xdr:row>2</xdr:row>
          <xdr:rowOff>45720</xdr:rowOff>
        </xdr:to>
        <xdr:sp macro="" textlink="">
          <xdr:nvSpPr>
            <xdr:cNvPr id="3079" name="cmdImporters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2</xdr:row>
          <xdr:rowOff>152400</xdr:rowOff>
        </xdr:from>
        <xdr:to>
          <xdr:col>9</xdr:col>
          <xdr:colOff>289560</xdr:colOff>
          <xdr:row>4</xdr:row>
          <xdr:rowOff>60960</xdr:rowOff>
        </xdr:to>
        <xdr:sp macro="" textlink="">
          <xdr:nvSpPr>
            <xdr:cNvPr id="3080" name="cmdExporters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601980</xdr:colOff>
          <xdr:row>1</xdr:row>
          <xdr:rowOff>0</xdr:rowOff>
        </xdr:from>
        <xdr:to>
          <xdr:col>1</xdr:col>
          <xdr:colOff>1440180</xdr:colOff>
          <xdr:row>2</xdr:row>
          <xdr:rowOff>106680</xdr:rowOff>
        </xdr:to>
        <xdr:sp macro="" textlink="">
          <xdr:nvSpPr>
            <xdr:cNvPr id="5121" name="cmdDirectionOrder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175260</xdr:colOff>
          <xdr:row>2</xdr:row>
          <xdr:rowOff>38100</xdr:rowOff>
        </xdr:from>
        <xdr:to>
          <xdr:col>1</xdr:col>
          <xdr:colOff>2301240</xdr:colOff>
          <xdr:row>3</xdr:row>
          <xdr:rowOff>114300</xdr:rowOff>
        </xdr:to>
        <xdr:sp macro="" textlink="">
          <xdr:nvSpPr>
            <xdr:cNvPr id="9217" name="cmdDirectionOrders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9" name="Table9" displayName="Table9" ref="C5:AU208" totalsRowShown="0" headerRowDxfId="67" dataDxfId="66" tableBorderDxfId="65">
  <autoFilter ref="C5:AU208"/>
  <tableColumns count="45">
    <tableColumn id="1" name="Number" dataDxfId="64"/>
    <tableColumn id="2" name="Company" dataDxfId="63"/>
    <tableColumn id="3" name="Address" dataDxfId="62"/>
    <tableColumn id="4" name="Item Description" dataDxfId="61"/>
    <tableColumn id="5" name="Conveyance_x000a_(Deprecated)" dataDxfId="60"/>
    <tableColumn id="6" name="Reg" dataDxfId="59"/>
    <tableColumn id="7" name="ETA" dataDxfId="58"/>
    <tableColumn id="8" name="Has Certificate" dataDxfId="57"/>
    <tableColumn id="9" name="Has Labelling" dataDxfId="56"/>
    <tableColumn id="10" name="Has Manifest" dataDxfId="55"/>
    <tableColumn id="11" name="Has other" dataDxfId="54"/>
    <tableColumn id="12" name="Other Reasons" dataDxfId="53"/>
    <tableColumn id="13" name="Directions" dataDxfId="52"/>
    <tableColumn id="14" name="Inspector Contact Details_x000a_(Deprecated)" dataDxfId="51"/>
    <tableColumn id="15" name="Further Directions_x000a_(Deprecated)" dataDxfId="50"/>
    <tableColumn id="16" name="Driver Name" dataDxfId="49"/>
    <tableColumn id="17" name="Driver Date" dataDxfId="48"/>
    <tableColumn id="18" name="Driver Time" dataDxfId="47"/>
    <tableColumn id="19" name="Inspector Name" dataDxfId="46"/>
    <tableColumn id="20" name="Inspector Date" dataDxfId="45"/>
    <tableColumn id="21" name="Inspector Time" dataDxfId="44"/>
    <tableColumn id="22" name="Released" dataDxfId="43"/>
    <tableColumn id="23" name="Redirected" dataDxfId="42"/>
    <tableColumn id="24" name="For Destruction" dataDxfId="41"/>
    <tableColumn id="25" name="Other Action" dataDxfId="40"/>
    <tableColumn id="26" name="Outcome" dataDxfId="39"/>
    <tableColumn id="27" name="Item Quantity" dataDxfId="38"/>
    <tableColumn id="28" name="Item Packaging" dataDxfId="37"/>
    <tableColumn id="29" name="Item Origin" dataDxfId="36"/>
    <tableColumn id="30" name="Item Destination" dataDxfId="35"/>
    <tableColumn id="31" name="Sign Off Inspector" dataDxfId="34"/>
    <tableColumn id="33" name="Sign Off Date" dataDxfId="12"/>
    <tableColumn id="38" name="Driver Address" dataDxfId="8"/>
    <tableColumn id="37" name="Driver Licence" dataDxfId="9"/>
    <tableColumn id="41" name="Item Origin Address" dataDxfId="5"/>
    <tableColumn id="40" name="Item Origin If Different" dataDxfId="6"/>
    <tableColumn id="39" name="Item Destination Phone" dataDxfId="7"/>
    <tableColumn id="36" name="Item Destination Address" dataDxfId="10"/>
    <tableColumn id="44" name="Directed to SA Depot" dataDxfId="2"/>
    <tableColumn id="43" name="Directed to Consignee Address" dataDxfId="3"/>
    <tableColumn id="42" name="Directed to Other" dataDxfId="4"/>
    <tableColumn id="46" name="Other Directions" dataDxfId="0"/>
    <tableColumn id="45" name="Inspector ID" dataDxfId="1"/>
    <tableColumn id="35" name="Sign Off Contact Number" dataDxfId="11"/>
    <tableColumn id="32" name="endCol" dataDxfId="33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id="1" name="tblTrucks" displayName="tblTrucks" ref="B7:J108" totalsRowShown="0" headerRowDxfId="32">
  <autoFilter ref="B7:J108"/>
  <sortState ref="B8:J108">
    <sortCondition ref="B7:B108"/>
  </sortState>
  <tableColumns count="9">
    <tableColumn id="1" name="BUSINESS" dataDxfId="31"/>
    <tableColumn id="2" name="ADDRESS" dataDxfId="30"/>
    <tableColumn id="3" name="ADDRESS 1" dataDxfId="29"/>
    <tableColumn id="4" name="ADDRESS 2" dataDxfId="28"/>
    <tableColumn id="5" name="PHONE" dataDxfId="27"/>
    <tableColumn id="6" name="FAX" dataDxfId="26"/>
    <tableColumn id="7" name="MOBILE"/>
    <tableColumn id="8" name="EMAIL" dataDxfId="25"/>
    <tableColumn id="9" name="ORIGIN" dataDxfId="2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45" name="Table345" displayName="Table345" ref="B6:J175" totalsRowShown="0" headerRowDxfId="23">
  <autoFilter ref="B6:J175"/>
  <sortState ref="B7:J208">
    <sortCondition ref="B6:B208"/>
  </sortState>
  <tableColumns count="9">
    <tableColumn id="1" name="Trading As" dataDxfId="22"/>
    <tableColumn id="2" name="Mailing Address" dataDxfId="21"/>
    <tableColumn id="3" name="Suburb" dataDxfId="20"/>
    <tableColumn id="4" name="State" dataDxfId="19"/>
    <tableColumn id="5" name="Postcode" dataDxfId="18"/>
    <tableColumn id="6" name="Attention:" dataDxfId="17"/>
    <tableColumn id="7" name="Greeting" dataDxfId="16"/>
    <tableColumn id="8" name="Phone numbers" dataDxfId="15"/>
    <tableColumn id="9" name="Fax Number" dataDxfId="14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312" name="tblExporters" displayName="tblExporters" ref="B8:F142" totalsRowShown="0">
  <autoFilter ref="B8:F142"/>
  <tableColumns count="5">
    <tableColumn id="1" name="TradingName"/>
    <tableColumn id="2" name="Street_Address"/>
    <tableColumn id="3" name="City"/>
    <tableColumn id="4" name="IP"/>
    <tableColumn id="5" name="Full Address" dataDxfId="13">
      <calculatedColumnFormula>B9 &amp; ", " &amp; C9 &amp; ", " &amp; D9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26.emf"/><Relationship Id="rId4" Type="http://schemas.openxmlformats.org/officeDocument/2006/relationships/control" Target="../activeX/activeX2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7.emf"/><Relationship Id="rId4" Type="http://schemas.openxmlformats.org/officeDocument/2006/relationships/control" Target="../activeX/activeX2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enquiry%40ptg.com.au" TargetMode="External"/><Relationship Id="rId13" Type="http://schemas.openxmlformats.org/officeDocument/2006/relationships/drawing" Target="../drawings/drawing4.xml"/><Relationship Id="rId18" Type="http://schemas.openxmlformats.org/officeDocument/2006/relationships/image" Target="../media/image29.emf"/><Relationship Id="rId26" Type="http://schemas.openxmlformats.org/officeDocument/2006/relationships/image" Target="../media/image33.emf"/><Relationship Id="rId3" Type="http://schemas.openxmlformats.org/officeDocument/2006/relationships/hyperlink" Target="mailto:freds@freds.com.au" TargetMode="External"/><Relationship Id="rId21" Type="http://schemas.openxmlformats.org/officeDocument/2006/relationships/control" Target="../activeX/activeX30.xml"/><Relationship Id="rId7" Type="http://schemas.openxmlformats.org/officeDocument/2006/relationships/hyperlink" Target="mailto:fletchers%40fletchersfreighters.com.au" TargetMode="External"/><Relationship Id="rId12" Type="http://schemas.openxmlformats.org/officeDocument/2006/relationships/printerSettings" Target="../printerSettings/printerSettings4.bin"/><Relationship Id="rId17" Type="http://schemas.openxmlformats.org/officeDocument/2006/relationships/control" Target="../activeX/activeX28.xml"/><Relationship Id="rId25" Type="http://schemas.openxmlformats.org/officeDocument/2006/relationships/control" Target="../activeX/activeX32.xml"/><Relationship Id="rId2" Type="http://schemas.openxmlformats.org/officeDocument/2006/relationships/hyperlink" Target="mailto:tony@Intercoastexpress.com.au" TargetMode="External"/><Relationship Id="rId16" Type="http://schemas.openxmlformats.org/officeDocument/2006/relationships/image" Target="../media/image28.emf"/><Relationship Id="rId20" Type="http://schemas.openxmlformats.org/officeDocument/2006/relationships/image" Target="../media/image30.emf"/><Relationship Id="rId1" Type="http://schemas.openxmlformats.org/officeDocument/2006/relationships/hyperlink" Target="mailto:admin@nolanstransport.com.au" TargetMode="External"/><Relationship Id="rId6" Type="http://schemas.openxmlformats.org/officeDocument/2006/relationships/hyperlink" Target="mailto:mcevoytransport%40internode.on.net" TargetMode="External"/><Relationship Id="rId11" Type="http://schemas.openxmlformats.org/officeDocument/2006/relationships/hyperlink" Target="mailto:spitt@ruralnet.net.au" TargetMode="External"/><Relationship Id="rId24" Type="http://schemas.openxmlformats.org/officeDocument/2006/relationships/image" Target="../media/image32.emf"/><Relationship Id="rId5" Type="http://schemas.openxmlformats.org/officeDocument/2006/relationships/hyperlink" Target="mailto:corporate@lindsayaustralia.com" TargetMode="External"/><Relationship Id="rId15" Type="http://schemas.openxmlformats.org/officeDocument/2006/relationships/control" Target="../activeX/activeX27.xml"/><Relationship Id="rId23" Type="http://schemas.openxmlformats.org/officeDocument/2006/relationships/control" Target="../activeX/activeX31.xml"/><Relationship Id="rId10" Type="http://schemas.openxmlformats.org/officeDocument/2006/relationships/hyperlink" Target="mailto:hentschke@riverland.net.au" TargetMode="External"/><Relationship Id="rId19" Type="http://schemas.openxmlformats.org/officeDocument/2006/relationships/control" Target="../activeX/activeX29.xml"/><Relationship Id="rId4" Type="http://schemas.openxmlformats.org/officeDocument/2006/relationships/hyperlink" Target="http://www.yellowpages.com.au/onlineSolution_emailBusiness.do?iblId=3855160&amp;iblName=Rand+Transport&amp;originatingPage=GCPPage&amp;authToken=11eec051906%7C05bcc99f174dec658ecc30d056738f54&amp;pageNumber=1&amp;st=cs&amp;z=" TargetMode="External"/><Relationship Id="rId9" Type="http://schemas.openxmlformats.org/officeDocument/2006/relationships/hyperlink" Target="mailto:admin@lobethalfreightlines.com.au" TargetMode="External"/><Relationship Id="rId14" Type="http://schemas.openxmlformats.org/officeDocument/2006/relationships/vmlDrawing" Target="../drawings/vmlDrawing4.vml"/><Relationship Id="rId22" Type="http://schemas.openxmlformats.org/officeDocument/2006/relationships/image" Target="../media/image31.emf"/><Relationship Id="rId27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image" Target="../media/image34.emf"/><Relationship Id="rId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image" Target="../media/image35.emf"/><Relationship Id="rId4" Type="http://schemas.openxmlformats.org/officeDocument/2006/relationships/control" Target="../activeX/activeX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W74"/>
  <sheetViews>
    <sheetView tabSelected="1" zoomScale="130" zoomScaleNormal="130" workbookViewId="0">
      <pane ySplit="5" topLeftCell="A21" activePane="bottomLeft" state="frozen"/>
      <selection pane="bottomLeft" activeCell="B62" sqref="B62:G62"/>
    </sheetView>
  </sheetViews>
  <sheetFormatPr defaultColWidth="8.88671875" defaultRowHeight="13.2" x14ac:dyDescent="0.25"/>
  <cols>
    <col min="1" max="1" width="13.44140625" style="2" customWidth="1"/>
    <col min="2" max="2" width="10" style="2" customWidth="1"/>
    <col min="3" max="3" width="6.6640625" style="2" customWidth="1"/>
    <col min="4" max="4" width="5.44140625" style="2" customWidth="1"/>
    <col min="5" max="5" width="6" style="2" customWidth="1"/>
    <col min="6" max="7" width="5.5546875" style="2" customWidth="1"/>
    <col min="8" max="8" width="6.88671875" style="2" customWidth="1"/>
    <col min="9" max="9" width="7.5546875" style="2" customWidth="1"/>
    <col min="10" max="10" width="6.44140625" style="2" customWidth="1"/>
    <col min="11" max="11" width="5.6640625" style="2" customWidth="1"/>
    <col min="12" max="12" width="5.44140625" style="2" customWidth="1"/>
    <col min="13" max="13" width="8.33203125" style="2" customWidth="1"/>
    <col min="14" max="14" width="9" style="2" customWidth="1"/>
    <col min="15" max="15" width="6.5546875" style="2" customWidth="1"/>
    <col min="16" max="16" width="8.44140625" style="2" customWidth="1"/>
    <col min="17" max="17" width="5.109375" style="2" customWidth="1"/>
    <col min="18" max="18" width="4.33203125" style="2" customWidth="1"/>
    <col min="19" max="19" width="1.88671875" style="2" customWidth="1"/>
    <col min="20" max="16384" width="8.88671875" style="2"/>
  </cols>
  <sheetData>
    <row r="1" spans="2:21" s="15" customFormat="1" x14ac:dyDescent="0.25"/>
    <row r="2" spans="2:21" s="15" customFormat="1" x14ac:dyDescent="0.25"/>
    <row r="3" spans="2:21" s="15" customFormat="1" x14ac:dyDescent="0.25"/>
    <row r="4" spans="2:21" s="15" customFormat="1" x14ac:dyDescent="0.25"/>
    <row r="5" spans="2:21" s="16" customFormat="1" ht="13.8" thickBot="1" x14ac:dyDescent="0.3"/>
    <row r="6" spans="2:21" ht="25.5" customHeight="1" thickTop="1" thickBot="1" x14ac:dyDescent="0.3"/>
    <row r="7" spans="2:21" ht="9" customHeight="1" x14ac:dyDescent="0.25">
      <c r="B7" s="3"/>
      <c r="C7" s="4"/>
      <c r="D7" s="4"/>
      <c r="E7" s="4"/>
      <c r="F7" s="4"/>
      <c r="G7" s="4"/>
      <c r="H7" s="234"/>
      <c r="I7" s="234"/>
      <c r="J7" s="234"/>
      <c r="K7" s="234"/>
      <c r="L7" s="234"/>
      <c r="M7" s="234"/>
      <c r="N7" s="234"/>
      <c r="O7" s="234"/>
      <c r="P7" s="234"/>
      <c r="Q7" s="234"/>
      <c r="R7" s="234"/>
      <c r="S7" s="235"/>
    </row>
    <row r="8" spans="2:21" x14ac:dyDescent="0.25">
      <c r="B8" s="5"/>
      <c r="C8" s="236"/>
      <c r="D8" s="236"/>
      <c r="E8" s="236"/>
      <c r="F8" s="236"/>
      <c r="G8" s="236"/>
      <c r="K8" s="164"/>
      <c r="L8" s="164"/>
      <c r="M8" s="167"/>
      <c r="N8" s="167"/>
      <c r="O8" s="167"/>
      <c r="R8" s="168" t="s">
        <v>573</v>
      </c>
      <c r="S8" s="165"/>
    </row>
    <row r="9" spans="2:21" x14ac:dyDescent="0.25">
      <c r="B9" s="5"/>
      <c r="C9" s="236"/>
      <c r="D9" s="236"/>
      <c r="E9" s="236"/>
      <c r="F9" s="236"/>
      <c r="G9" s="236"/>
      <c r="K9" s="164"/>
      <c r="L9" s="164"/>
      <c r="M9" s="164"/>
      <c r="N9" s="164"/>
      <c r="O9" s="164"/>
      <c r="R9" s="166" t="s">
        <v>3396</v>
      </c>
      <c r="S9" s="165"/>
    </row>
    <row r="10" spans="2:21" ht="12.75" customHeight="1" x14ac:dyDescent="0.25">
      <c r="B10" s="5"/>
      <c r="C10" s="236"/>
      <c r="D10" s="236"/>
      <c r="E10" s="236"/>
      <c r="F10" s="236"/>
      <c r="G10" s="236"/>
      <c r="K10" s="164"/>
      <c r="L10" s="164"/>
      <c r="M10" s="164"/>
      <c r="N10" s="164"/>
      <c r="O10" s="164"/>
      <c r="R10" s="166" t="s">
        <v>3397</v>
      </c>
      <c r="S10" s="165"/>
    </row>
    <row r="11" spans="2:21" ht="6" customHeight="1" x14ac:dyDescent="0.25">
      <c r="B11" s="5"/>
      <c r="C11" s="164"/>
      <c r="D11" s="164"/>
      <c r="E11" s="164"/>
      <c r="F11" s="164"/>
      <c r="G11" s="164"/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3"/>
    </row>
    <row r="12" spans="2:21" ht="13.2" customHeight="1" x14ac:dyDescent="0.25">
      <c r="B12" s="5"/>
      <c r="C12" s="222" t="s">
        <v>551</v>
      </c>
      <c r="D12" s="164"/>
      <c r="E12" s="164"/>
      <c r="F12" s="164"/>
      <c r="G12" s="222" t="s">
        <v>67</v>
      </c>
      <c r="H12" s="162"/>
      <c r="I12" s="162"/>
      <c r="J12" s="162"/>
      <c r="K12" s="162"/>
      <c r="L12" s="162"/>
      <c r="M12" s="162"/>
      <c r="N12" s="169"/>
      <c r="O12" s="169"/>
      <c r="P12" s="249" t="s">
        <v>3429</v>
      </c>
      <c r="Q12" s="249"/>
      <c r="R12" s="249"/>
      <c r="S12" s="163"/>
    </row>
    <row r="13" spans="2:21" ht="6" customHeight="1" x14ac:dyDescent="0.25">
      <c r="B13" s="5"/>
      <c r="C13" s="8"/>
      <c r="D13" s="8"/>
      <c r="E13" s="8"/>
      <c r="F13" s="8"/>
      <c r="G13" s="221" t="s">
        <v>547</v>
      </c>
      <c r="H13" s="8"/>
      <c r="I13" s="6"/>
      <c r="J13" s="6"/>
      <c r="K13" s="6"/>
      <c r="L13" s="6"/>
      <c r="M13" s="6"/>
      <c r="N13" s="6"/>
      <c r="O13" s="6"/>
      <c r="P13" s="6"/>
      <c r="Q13" s="162"/>
      <c r="R13" s="162"/>
      <c r="S13" s="7"/>
    </row>
    <row r="14" spans="2:21" ht="26.7" customHeight="1" x14ac:dyDescent="0.6">
      <c r="B14" s="240" t="s">
        <v>70</v>
      </c>
      <c r="C14" s="241"/>
      <c r="D14" s="241"/>
      <c r="E14" s="241"/>
      <c r="F14" s="241"/>
      <c r="G14" s="241"/>
      <c r="H14" s="241"/>
      <c r="I14" s="241"/>
      <c r="J14" s="241"/>
      <c r="K14" s="241"/>
      <c r="L14" s="241"/>
      <c r="M14" s="241"/>
      <c r="N14" s="241"/>
      <c r="O14" s="241"/>
      <c r="P14" s="241"/>
      <c r="Q14" s="241"/>
      <c r="R14" s="241"/>
      <c r="S14" s="242"/>
      <c r="T14" s="9"/>
      <c r="U14" s="10"/>
    </row>
    <row r="15" spans="2:21" ht="12.75" customHeight="1" x14ac:dyDescent="0.6">
      <c r="B15" s="243" t="s">
        <v>2478</v>
      </c>
      <c r="C15" s="244"/>
      <c r="D15" s="244"/>
      <c r="E15" s="244"/>
      <c r="F15" s="244"/>
      <c r="G15" s="244"/>
      <c r="H15" s="244"/>
      <c r="I15" s="244"/>
      <c r="J15" s="244"/>
      <c r="K15" s="244"/>
      <c r="L15" s="244"/>
      <c r="M15" s="244"/>
      <c r="N15" s="244"/>
      <c r="O15" s="244"/>
      <c r="P15" s="244"/>
      <c r="Q15" s="244"/>
      <c r="R15" s="244"/>
      <c r="S15" s="245"/>
      <c r="T15" s="9"/>
      <c r="U15" s="10"/>
    </row>
    <row r="16" spans="2:21" ht="10.5" customHeight="1" x14ac:dyDescent="0.6">
      <c r="B16" s="246"/>
      <c r="C16" s="247"/>
      <c r="D16" s="247"/>
      <c r="E16" s="247"/>
      <c r="F16" s="247"/>
      <c r="G16" s="247"/>
      <c r="H16" s="247"/>
      <c r="I16" s="247"/>
      <c r="J16" s="247"/>
      <c r="K16" s="247"/>
      <c r="L16" s="247"/>
      <c r="M16" s="247"/>
      <c r="N16" s="247"/>
      <c r="O16" s="247"/>
      <c r="P16" s="247"/>
      <c r="Q16" s="247"/>
      <c r="R16" s="247"/>
      <c r="S16" s="248"/>
      <c r="T16" s="9"/>
      <c r="U16" s="10"/>
    </row>
    <row r="17" spans="2:20" s="12" customFormat="1" ht="14.1" customHeight="1" x14ac:dyDescent="0.25">
      <c r="B17" s="237" t="s">
        <v>3407</v>
      </c>
      <c r="C17" s="238"/>
      <c r="D17" s="238"/>
      <c r="E17" s="238"/>
      <c r="F17" s="238"/>
      <c r="G17" s="238"/>
      <c r="H17" s="238"/>
      <c r="I17" s="238"/>
      <c r="J17" s="238"/>
      <c r="K17" s="238"/>
      <c r="L17" s="238"/>
      <c r="M17" s="238"/>
      <c r="N17" s="238"/>
      <c r="O17" s="238"/>
      <c r="P17" s="238"/>
      <c r="Q17" s="238"/>
      <c r="R17" s="238"/>
      <c r="S17" s="239"/>
      <c r="T17" s="11"/>
    </row>
    <row r="18" spans="2:20" ht="14.1" customHeight="1" x14ac:dyDescent="0.25">
      <c r="B18" s="259" t="s">
        <v>3402</v>
      </c>
      <c r="C18" s="260"/>
      <c r="D18" s="225" t="str">
        <f>""&amp;DriverName</f>
        <v>alan pontony</v>
      </c>
      <c r="E18" s="223"/>
      <c r="F18" s="223"/>
      <c r="G18" s="223"/>
      <c r="H18" s="223"/>
      <c r="I18" s="223"/>
      <c r="J18" s="223"/>
      <c r="K18" s="223"/>
      <c r="L18" s="223"/>
      <c r="M18" s="224"/>
      <c r="N18" s="170"/>
      <c r="O18" s="171" t="s">
        <v>3398</v>
      </c>
      <c r="P18" s="262" t="s">
        <v>3346</v>
      </c>
      <c r="Q18" s="263"/>
      <c r="R18" s="263"/>
      <c r="S18" s="264"/>
    </row>
    <row r="19" spans="2:20" ht="14.1" customHeight="1" x14ac:dyDescent="0.25">
      <c r="B19" s="259" t="s">
        <v>574</v>
      </c>
      <c r="C19" s="260"/>
      <c r="D19" s="253"/>
      <c r="E19" s="254"/>
      <c r="F19" s="254"/>
      <c r="G19" s="254"/>
      <c r="H19" s="254"/>
      <c r="I19" s="254"/>
      <c r="J19" s="254"/>
      <c r="K19" s="254"/>
      <c r="L19" s="254"/>
      <c r="M19" s="255"/>
      <c r="O19" s="171" t="s">
        <v>3399</v>
      </c>
      <c r="P19" s="262"/>
      <c r="Q19" s="265"/>
      <c r="R19" s="265"/>
      <c r="S19" s="266"/>
    </row>
    <row r="20" spans="2:20" ht="12.75" customHeight="1" x14ac:dyDescent="0.25">
      <c r="B20" s="267"/>
      <c r="C20" s="268"/>
      <c r="D20" s="268"/>
      <c r="E20" s="268"/>
      <c r="F20" s="268"/>
      <c r="G20" s="268"/>
      <c r="H20" s="268"/>
      <c r="I20" s="268"/>
      <c r="J20" s="268"/>
      <c r="K20" s="268"/>
      <c r="L20" s="268"/>
      <c r="M20" s="268"/>
      <c r="N20" s="268"/>
      <c r="O20" s="268"/>
      <c r="P20" s="268"/>
      <c r="Q20" s="268"/>
      <c r="R20" s="268"/>
      <c r="S20" s="269"/>
    </row>
    <row r="21" spans="2:20" ht="18.899999999999999" customHeight="1" x14ac:dyDescent="0.25">
      <c r="B21" s="237" t="s">
        <v>3400</v>
      </c>
      <c r="C21" s="238"/>
      <c r="D21" s="238"/>
      <c r="E21" s="238"/>
      <c r="F21" s="238"/>
      <c r="G21" s="238"/>
      <c r="H21" s="238"/>
      <c r="I21" s="238"/>
      <c r="J21" s="238"/>
      <c r="K21" s="238"/>
      <c r="L21" s="238"/>
      <c r="M21" s="238"/>
      <c r="N21" s="238"/>
      <c r="O21" s="238"/>
      <c r="P21" s="238"/>
      <c r="Q21" s="238"/>
      <c r="R21" s="238"/>
      <c r="S21" s="239"/>
    </row>
    <row r="22" spans="2:20" ht="14.1" customHeight="1" x14ac:dyDescent="0.25">
      <c r="B22" s="259" t="s">
        <v>3402</v>
      </c>
      <c r="C22" s="261"/>
      <c r="D22" s="253" t="s">
        <v>934</v>
      </c>
      <c r="E22" s="254"/>
      <c r="F22" s="254"/>
      <c r="G22" s="254"/>
      <c r="H22" s="254"/>
      <c r="I22" s="273"/>
      <c r="J22" s="259" t="s">
        <v>574</v>
      </c>
      <c r="K22" s="261"/>
      <c r="L22" s="270" t="s">
        <v>1037</v>
      </c>
      <c r="M22" s="271"/>
      <c r="N22" s="271"/>
      <c r="O22" s="271"/>
      <c r="P22" s="271"/>
      <c r="Q22" s="271"/>
      <c r="R22" s="271"/>
      <c r="S22" s="272"/>
    </row>
    <row r="23" spans="2:20" ht="14.1" customHeight="1" x14ac:dyDescent="0.25">
      <c r="B23" s="256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58"/>
    </row>
    <row r="24" spans="2:20" ht="14.1" customHeight="1" x14ac:dyDescent="0.25">
      <c r="B24" s="237" t="s">
        <v>3409</v>
      </c>
      <c r="C24" s="238"/>
      <c r="D24" s="238"/>
      <c r="E24" s="238"/>
      <c r="F24" s="238"/>
      <c r="G24" s="238"/>
      <c r="H24" s="238"/>
      <c r="I24" s="238"/>
      <c r="J24" s="238"/>
      <c r="K24" s="238"/>
      <c r="L24" s="238"/>
      <c r="M24" s="238"/>
      <c r="N24" s="238"/>
      <c r="O24" s="238"/>
      <c r="P24" s="238"/>
      <c r="Q24" s="238"/>
      <c r="R24" s="238"/>
      <c r="S24" s="239"/>
    </row>
    <row r="25" spans="2:20" ht="14.1" customHeight="1" x14ac:dyDescent="0.25">
      <c r="B25" s="259" t="s">
        <v>3402</v>
      </c>
      <c r="C25" s="261"/>
      <c r="D25" s="270" t="s">
        <v>3335</v>
      </c>
      <c r="E25" s="271"/>
      <c r="F25" s="271"/>
      <c r="G25" s="271"/>
      <c r="H25" s="271"/>
      <c r="I25" s="271"/>
      <c r="J25" s="277"/>
      <c r="K25" s="278" t="s">
        <v>574</v>
      </c>
      <c r="L25" s="279"/>
      <c r="M25" s="270"/>
      <c r="N25" s="271"/>
      <c r="O25" s="271"/>
      <c r="P25" s="271"/>
      <c r="Q25" s="271"/>
      <c r="R25" s="271"/>
      <c r="S25" s="272"/>
    </row>
    <row r="26" spans="2:20" ht="14.1" customHeight="1" x14ac:dyDescent="0.25">
      <c r="B26" s="259" t="s">
        <v>3410</v>
      </c>
      <c r="C26" s="260"/>
      <c r="D26" s="260"/>
      <c r="E26" s="260"/>
      <c r="F26" s="260"/>
      <c r="G26" s="261"/>
      <c r="H26" s="253"/>
      <c r="I26" s="254"/>
      <c r="J26" s="254"/>
      <c r="K26" s="254"/>
      <c r="L26" s="254"/>
      <c r="M26" s="254"/>
      <c r="N26" s="254"/>
      <c r="O26" s="254"/>
      <c r="P26" s="254"/>
      <c r="Q26" s="254"/>
      <c r="R26" s="254"/>
      <c r="S26" s="273"/>
    </row>
    <row r="27" spans="2:20" ht="14.1" customHeight="1" x14ac:dyDescent="0.25">
      <c r="B27" s="256"/>
      <c r="C27" s="257"/>
      <c r="D27" s="257"/>
      <c r="E27" s="257"/>
      <c r="F27" s="257"/>
      <c r="G27" s="257"/>
      <c r="H27" s="257"/>
      <c r="I27" s="257"/>
      <c r="J27" s="257"/>
      <c r="K27" s="257"/>
      <c r="L27" s="257"/>
      <c r="M27" s="257"/>
      <c r="N27" s="257"/>
      <c r="O27" s="257"/>
      <c r="P27" s="257"/>
      <c r="Q27" s="257"/>
      <c r="R27" s="257"/>
      <c r="S27" s="258"/>
    </row>
    <row r="28" spans="2:20" ht="18.899999999999999" customHeight="1" x14ac:dyDescent="0.25">
      <c r="B28" s="250" t="s">
        <v>3408</v>
      </c>
      <c r="C28" s="251"/>
      <c r="D28" s="251"/>
      <c r="E28" s="251"/>
      <c r="F28" s="251"/>
      <c r="G28" s="251"/>
      <c r="H28" s="251"/>
      <c r="I28" s="251"/>
      <c r="J28" s="251"/>
      <c r="K28" s="251"/>
      <c r="L28" s="251"/>
      <c r="M28" s="251"/>
      <c r="N28" s="251"/>
      <c r="O28" s="251"/>
      <c r="P28" s="251"/>
      <c r="Q28" s="251"/>
      <c r="R28" s="251"/>
      <c r="S28" s="252"/>
    </row>
    <row r="29" spans="2:20" ht="14.1" customHeight="1" x14ac:dyDescent="0.25">
      <c r="B29" s="259" t="s">
        <v>3402</v>
      </c>
      <c r="C29" s="261"/>
      <c r="D29" s="270" t="s">
        <v>3351</v>
      </c>
      <c r="E29" s="271"/>
      <c r="F29" s="271"/>
      <c r="G29" s="271"/>
      <c r="H29" s="271"/>
      <c r="I29" s="271"/>
      <c r="J29" s="271"/>
      <c r="K29" s="271"/>
      <c r="L29" s="271"/>
      <c r="M29" s="271"/>
      <c r="N29" s="277"/>
      <c r="O29" s="172" t="s">
        <v>3401</v>
      </c>
      <c r="P29" s="270"/>
      <c r="Q29" s="283"/>
      <c r="R29" s="283"/>
      <c r="S29" s="284"/>
    </row>
    <row r="30" spans="2:20" ht="14.1" customHeight="1" x14ac:dyDescent="0.25">
      <c r="B30" s="259" t="s">
        <v>574</v>
      </c>
      <c r="C30" s="261"/>
      <c r="D30" s="270"/>
      <c r="E30" s="283"/>
      <c r="F30" s="283"/>
      <c r="G30" s="283"/>
      <c r="H30" s="283"/>
      <c r="I30" s="283"/>
      <c r="J30" s="283"/>
      <c r="K30" s="283"/>
      <c r="L30" s="283"/>
      <c r="M30" s="283"/>
      <c r="N30" s="283"/>
      <c r="O30" s="283"/>
      <c r="P30" s="283"/>
      <c r="Q30" s="283"/>
      <c r="R30" s="283"/>
      <c r="S30" s="284"/>
    </row>
    <row r="31" spans="2:20" ht="14.1" customHeight="1" x14ac:dyDescent="0.25">
      <c r="B31" s="259" t="s">
        <v>3403</v>
      </c>
      <c r="C31" s="261"/>
      <c r="D31" s="270">
        <v>20</v>
      </c>
      <c r="E31" s="271"/>
      <c r="F31" s="271"/>
      <c r="G31" s="277"/>
      <c r="H31" s="288" t="s">
        <v>3406</v>
      </c>
      <c r="I31" s="261"/>
      <c r="J31" s="270" t="s">
        <v>2346</v>
      </c>
      <c r="K31" s="271"/>
      <c r="L31" s="271"/>
      <c r="M31" s="277"/>
      <c r="N31" s="288" t="s">
        <v>3405</v>
      </c>
      <c r="O31" s="261"/>
      <c r="P31" s="270" t="s">
        <v>2375</v>
      </c>
      <c r="Q31" s="271"/>
      <c r="R31" s="271"/>
      <c r="S31" s="272"/>
    </row>
    <row r="32" spans="2:20" ht="14.1" customHeight="1" x14ac:dyDescent="0.25">
      <c r="B32" s="259" t="s">
        <v>3404</v>
      </c>
      <c r="C32" s="260"/>
      <c r="D32" s="289">
        <v>0.8041666666666667</v>
      </c>
      <c r="E32" s="271"/>
      <c r="F32" s="271"/>
      <c r="G32" s="271"/>
      <c r="H32" s="271"/>
      <c r="I32" s="271"/>
      <c r="J32" s="271"/>
      <c r="K32" s="271"/>
      <c r="L32" s="271"/>
      <c r="M32" s="271"/>
      <c r="N32" s="271"/>
      <c r="O32" s="271"/>
      <c r="P32" s="271"/>
      <c r="Q32" s="271"/>
      <c r="R32" s="271"/>
      <c r="S32" s="272"/>
    </row>
    <row r="33" spans="2:23" ht="14.1" customHeight="1" x14ac:dyDescent="0.25">
      <c r="B33" s="256"/>
      <c r="C33" s="257"/>
      <c r="D33" s="257"/>
      <c r="E33" s="257"/>
      <c r="F33" s="257"/>
      <c r="G33" s="257"/>
      <c r="H33" s="257"/>
      <c r="I33" s="257"/>
      <c r="J33" s="257"/>
      <c r="K33" s="257"/>
      <c r="L33" s="257"/>
      <c r="M33" s="257"/>
      <c r="N33" s="257"/>
      <c r="O33" s="257"/>
      <c r="P33" s="257"/>
      <c r="Q33" s="257"/>
      <c r="R33" s="257"/>
      <c r="S33" s="258"/>
    </row>
    <row r="34" spans="2:23" ht="23.4" customHeight="1" x14ac:dyDescent="0.25">
      <c r="B34" s="173" t="s">
        <v>2429</v>
      </c>
      <c r="C34" s="72"/>
      <c r="D34" s="174"/>
      <c r="E34" s="72"/>
      <c r="F34" s="72"/>
      <c r="G34" s="72"/>
      <c r="H34" s="175"/>
      <c r="I34" s="176" t="b">
        <v>1</v>
      </c>
      <c r="J34" s="175"/>
      <c r="K34" s="175"/>
      <c r="L34" s="175"/>
      <c r="M34" s="176" t="b">
        <v>0</v>
      </c>
      <c r="N34" s="175"/>
      <c r="O34" s="175"/>
      <c r="P34" s="176" t="b">
        <v>0</v>
      </c>
      <c r="Q34" s="176"/>
      <c r="R34" s="176"/>
      <c r="S34" s="58"/>
    </row>
    <row r="35" spans="2:23" ht="20.100000000000001" customHeight="1" x14ac:dyDescent="0.25">
      <c r="B35" s="177"/>
      <c r="C35" s="178"/>
      <c r="D35" s="178"/>
      <c r="E35" s="178"/>
      <c r="F35" s="178"/>
      <c r="G35" s="178"/>
      <c r="H35" s="56"/>
      <c r="I35" s="57" t="b">
        <v>0</v>
      </c>
      <c r="J35" s="56"/>
      <c r="K35" s="56"/>
      <c r="L35" s="56"/>
      <c r="M35" s="56"/>
      <c r="N35" s="56"/>
      <c r="O35" s="56"/>
      <c r="P35" s="56"/>
      <c r="Q35" s="56"/>
      <c r="R35" s="56"/>
      <c r="S35" s="179"/>
      <c r="W35" s="61"/>
    </row>
    <row r="36" spans="2:23" ht="20.100000000000001" customHeight="1" x14ac:dyDescent="0.25">
      <c r="B36" s="308" t="s">
        <v>651</v>
      </c>
      <c r="C36" s="309"/>
      <c r="D36" s="309"/>
      <c r="E36" s="309"/>
      <c r="F36" s="309"/>
      <c r="G36" s="309"/>
      <c r="H36" s="309"/>
      <c r="I36" s="309"/>
      <c r="J36" s="309"/>
      <c r="K36" s="309"/>
      <c r="L36" s="309"/>
      <c r="M36" s="309"/>
      <c r="N36" s="309"/>
      <c r="O36" s="309"/>
      <c r="P36" s="309"/>
      <c r="Q36" s="309"/>
      <c r="R36" s="309"/>
      <c r="S36" s="310"/>
    </row>
    <row r="37" spans="2:23" ht="9.75" customHeight="1" x14ac:dyDescent="0.25">
      <c r="B37" s="302"/>
      <c r="C37" s="303"/>
      <c r="D37" s="303"/>
      <c r="E37" s="303"/>
      <c r="F37" s="303"/>
      <c r="G37" s="303"/>
      <c r="H37" s="303"/>
      <c r="I37" s="303"/>
      <c r="J37" s="303"/>
      <c r="K37" s="303"/>
      <c r="L37" s="303"/>
      <c r="M37" s="303"/>
      <c r="N37" s="303"/>
      <c r="O37" s="303"/>
      <c r="P37" s="303"/>
      <c r="Q37" s="303"/>
      <c r="R37" s="303"/>
      <c r="S37" s="304"/>
    </row>
    <row r="38" spans="2:23" ht="18" customHeight="1" x14ac:dyDescent="0.25">
      <c r="B38" s="305" t="s">
        <v>3426</v>
      </c>
      <c r="C38" s="306"/>
      <c r="D38" s="306"/>
      <c r="E38" s="306"/>
      <c r="F38" s="306"/>
      <c r="G38" s="306"/>
      <c r="H38" s="306"/>
      <c r="I38" s="306"/>
      <c r="J38" s="306"/>
      <c r="K38" s="306"/>
      <c r="L38" s="306"/>
      <c r="M38" s="306"/>
      <c r="N38" s="306"/>
      <c r="O38" s="306"/>
      <c r="P38" s="306"/>
      <c r="Q38" s="306"/>
      <c r="R38" s="306"/>
      <c r="S38" s="307"/>
    </row>
    <row r="39" spans="2:23" ht="13.2" customHeight="1" x14ac:dyDescent="0.25">
      <c r="B39" s="280" t="s">
        <v>3411</v>
      </c>
      <c r="C39" s="281"/>
      <c r="D39" s="281"/>
      <c r="E39" s="281"/>
      <c r="F39" s="281"/>
      <c r="G39" s="281"/>
      <c r="H39" s="281"/>
      <c r="I39" s="281"/>
      <c r="J39" s="281"/>
      <c r="K39" s="281"/>
      <c r="L39" s="281"/>
      <c r="M39" s="281"/>
      <c r="N39" s="281"/>
      <c r="O39" s="281"/>
      <c r="P39" s="281"/>
      <c r="Q39" s="281"/>
      <c r="R39" s="281"/>
      <c r="S39" s="282"/>
    </row>
    <row r="40" spans="2:23" ht="13.2" customHeight="1" x14ac:dyDescent="0.25">
      <c r="B40" s="280" t="s">
        <v>3412</v>
      </c>
      <c r="C40" s="281"/>
      <c r="D40" s="281"/>
      <c r="E40" s="281"/>
      <c r="F40" s="281"/>
      <c r="G40" s="281"/>
      <c r="H40" s="281"/>
      <c r="I40" s="281"/>
      <c r="J40" s="281"/>
      <c r="K40" s="281"/>
      <c r="L40" s="281"/>
      <c r="M40" s="281"/>
      <c r="N40" s="281"/>
      <c r="O40" s="281"/>
      <c r="P40" s="281"/>
      <c r="Q40" s="281"/>
      <c r="R40" s="281"/>
      <c r="S40" s="282"/>
    </row>
    <row r="41" spans="2:23" ht="13.2" customHeight="1" x14ac:dyDescent="0.25">
      <c r="B41" s="182"/>
      <c r="C41" s="183"/>
      <c r="D41" s="183"/>
      <c r="E41" s="183"/>
      <c r="F41" s="183"/>
      <c r="G41" s="183"/>
      <c r="H41" s="183"/>
      <c r="I41" s="183"/>
      <c r="J41" s="183"/>
      <c r="K41" s="183"/>
      <c r="L41" s="183"/>
      <c r="M41" s="183"/>
      <c r="N41" s="183"/>
      <c r="O41" s="183"/>
      <c r="P41" s="183"/>
      <c r="Q41" s="183"/>
      <c r="R41" s="183"/>
      <c r="S41" s="184"/>
    </row>
    <row r="42" spans="2:23" ht="13.2" customHeight="1" x14ac:dyDescent="0.25">
      <c r="B42" s="182"/>
      <c r="C42" s="183"/>
      <c r="D42" s="183"/>
      <c r="E42" s="183"/>
      <c r="F42" s="183"/>
      <c r="G42" s="183"/>
      <c r="H42" s="183"/>
      <c r="I42" s="183"/>
      <c r="J42" s="183"/>
      <c r="K42" s="183"/>
      <c r="L42" s="183"/>
      <c r="M42" s="183"/>
      <c r="N42" s="183"/>
      <c r="O42" s="183"/>
      <c r="P42" s="183"/>
      <c r="Q42" s="183"/>
      <c r="R42" s="183"/>
      <c r="S42" s="184"/>
    </row>
    <row r="43" spans="2:23" ht="13.2" customHeight="1" x14ac:dyDescent="0.25">
      <c r="B43" s="182"/>
      <c r="C43" s="183"/>
      <c r="D43" s="183"/>
      <c r="E43" s="183"/>
      <c r="F43" s="183"/>
      <c r="G43" s="183"/>
      <c r="H43" s="183"/>
      <c r="I43" s="183"/>
      <c r="J43" s="183"/>
      <c r="K43" s="183"/>
      <c r="L43" s="183"/>
      <c r="M43" s="183"/>
      <c r="N43" s="183"/>
      <c r="O43" s="183"/>
      <c r="P43" s="183"/>
      <c r="Q43" s="183"/>
      <c r="R43" s="183"/>
      <c r="S43" s="184"/>
    </row>
    <row r="44" spans="2:23" ht="20.100000000000001" customHeight="1" x14ac:dyDescent="0.25">
      <c r="B44" s="294"/>
      <c r="C44" s="295"/>
      <c r="D44" s="295"/>
      <c r="E44" s="295"/>
      <c r="F44" s="295"/>
      <c r="G44" s="295"/>
      <c r="H44" s="295"/>
      <c r="I44" s="295"/>
      <c r="J44" s="295"/>
      <c r="K44" s="295"/>
      <c r="L44" s="295"/>
      <c r="M44" s="295"/>
      <c r="N44" s="295"/>
      <c r="O44" s="295"/>
      <c r="P44" s="295"/>
      <c r="Q44" s="295"/>
      <c r="R44" s="295"/>
      <c r="S44" s="296"/>
    </row>
    <row r="45" spans="2:23" ht="14.4" x14ac:dyDescent="0.3">
      <c r="B45" s="285" t="s">
        <v>3413</v>
      </c>
      <c r="C45" s="286"/>
      <c r="D45" s="286"/>
      <c r="E45" s="286"/>
      <c r="F45" s="286"/>
      <c r="G45" s="286"/>
      <c r="H45" s="286"/>
      <c r="I45" s="286"/>
      <c r="J45" s="286"/>
      <c r="K45" s="286"/>
      <c r="L45" s="286"/>
      <c r="M45" s="286"/>
      <c r="N45" s="286"/>
      <c r="O45" s="286"/>
      <c r="P45" s="286"/>
      <c r="Q45" s="286"/>
      <c r="R45" s="286"/>
      <c r="S45" s="287"/>
    </row>
    <row r="46" spans="2:23" ht="13.8" x14ac:dyDescent="0.25">
      <c r="B46" s="274" t="s">
        <v>3414</v>
      </c>
      <c r="C46" s="275"/>
      <c r="D46" s="275"/>
      <c r="E46" s="275"/>
      <c r="F46" s="275"/>
      <c r="G46" s="275"/>
      <c r="H46" s="275"/>
      <c r="I46" s="275"/>
      <c r="J46" s="275"/>
      <c r="K46" s="275"/>
      <c r="L46" s="275"/>
      <c r="M46" s="275"/>
      <c r="N46" s="275"/>
      <c r="O46" s="275"/>
      <c r="P46" s="275"/>
      <c r="Q46" s="275"/>
      <c r="R46" s="275"/>
      <c r="S46" s="276"/>
    </row>
    <row r="47" spans="2:23" ht="13.8" x14ac:dyDescent="0.25">
      <c r="B47" s="274" t="s">
        <v>3415</v>
      </c>
      <c r="C47" s="275"/>
      <c r="D47" s="275"/>
      <c r="E47" s="275"/>
      <c r="F47" s="275"/>
      <c r="G47" s="275"/>
      <c r="H47" s="275"/>
      <c r="I47" s="275"/>
      <c r="J47" s="275"/>
      <c r="K47" s="275"/>
      <c r="L47" s="275"/>
      <c r="M47" s="275"/>
      <c r="N47" s="275"/>
      <c r="O47" s="275"/>
      <c r="P47" s="275"/>
      <c r="Q47" s="275"/>
      <c r="R47" s="275"/>
      <c r="S47" s="276"/>
    </row>
    <row r="48" spans="2:23" ht="6" customHeight="1" thickBot="1" x14ac:dyDescent="0.3">
      <c r="B48" s="315"/>
      <c r="C48" s="316"/>
      <c r="D48" s="316"/>
      <c r="E48" s="316"/>
      <c r="F48" s="316"/>
      <c r="G48" s="316"/>
      <c r="H48" s="316"/>
      <c r="I48" s="316"/>
      <c r="J48" s="316"/>
      <c r="K48" s="316"/>
      <c r="L48" s="316"/>
      <c r="M48" s="316"/>
      <c r="N48" s="316"/>
      <c r="O48" s="316"/>
      <c r="P48" s="316"/>
      <c r="Q48" s="316"/>
      <c r="R48" s="316"/>
      <c r="S48" s="317"/>
    </row>
    <row r="49" spans="2:19" ht="24.75" customHeight="1" x14ac:dyDescent="0.25">
      <c r="B49" s="297" t="s">
        <v>607</v>
      </c>
      <c r="C49" s="298"/>
      <c r="D49" s="298"/>
      <c r="E49" s="298"/>
      <c r="F49" s="298"/>
      <c r="G49" s="298"/>
      <c r="H49" s="298"/>
      <c r="I49" s="298"/>
      <c r="J49" s="299"/>
      <c r="K49" s="298" t="s">
        <v>3417</v>
      </c>
      <c r="L49" s="298"/>
      <c r="M49" s="298"/>
      <c r="N49" s="298"/>
      <c r="O49" s="298"/>
      <c r="P49" s="298"/>
      <c r="Q49" s="298"/>
      <c r="R49" s="298"/>
      <c r="S49" s="311"/>
    </row>
    <row r="50" spans="2:19" ht="16.5" customHeight="1" x14ac:dyDescent="0.25">
      <c r="B50" s="226"/>
      <c r="C50" s="227"/>
      <c r="D50" s="227"/>
      <c r="E50" s="227"/>
      <c r="F50" s="227"/>
      <c r="G50" s="227"/>
      <c r="H50" s="227"/>
      <c r="I50" s="227"/>
      <c r="J50" s="228"/>
      <c r="K50" s="312" t="s">
        <v>3418</v>
      </c>
      <c r="L50" s="313"/>
      <c r="M50" s="313"/>
      <c r="N50" s="313"/>
      <c r="O50" s="313"/>
      <c r="P50" s="313"/>
      <c r="Q50" s="313"/>
      <c r="R50" s="313"/>
      <c r="S50" s="314"/>
    </row>
    <row r="51" spans="2:19" ht="18.899999999999999" customHeight="1" x14ac:dyDescent="0.25">
      <c r="B51" s="214" t="s">
        <v>638</v>
      </c>
      <c r="C51" s="233" t="s">
        <v>656</v>
      </c>
      <c r="D51" s="233"/>
      <c r="E51" s="233"/>
      <c r="F51" s="233"/>
      <c r="G51" s="233"/>
      <c r="H51" s="73" t="s">
        <v>3416</v>
      </c>
      <c r="I51" s="229"/>
      <c r="J51" s="230"/>
      <c r="K51" s="290" t="s">
        <v>638</v>
      </c>
      <c r="L51" s="281"/>
      <c r="M51" s="300" t="s">
        <v>3349</v>
      </c>
      <c r="N51" s="300"/>
      <c r="O51" s="300"/>
      <c r="P51" s="300"/>
      <c r="Q51" s="300"/>
      <c r="R51" s="300"/>
      <c r="S51" s="301"/>
    </row>
    <row r="52" spans="2:19" ht="18.899999999999999" customHeight="1" x14ac:dyDescent="0.25">
      <c r="B52" s="182" t="s">
        <v>609</v>
      </c>
      <c r="C52" s="231">
        <v>42354</v>
      </c>
      <c r="D52" s="232"/>
      <c r="E52" s="232"/>
      <c r="F52" s="232"/>
      <c r="G52" s="232"/>
      <c r="H52" s="194" t="s">
        <v>610</v>
      </c>
      <c r="I52" s="292">
        <v>0.65833333333333299</v>
      </c>
      <c r="J52" s="293"/>
      <c r="K52" s="290" t="s">
        <v>609</v>
      </c>
      <c r="L52" s="281"/>
      <c r="M52" s="291" t="s">
        <v>3430</v>
      </c>
      <c r="N52" s="291"/>
      <c r="O52" s="291"/>
      <c r="P52" s="193" t="s">
        <v>610</v>
      </c>
      <c r="Q52" s="324">
        <v>0.65833333333333299</v>
      </c>
      <c r="R52" s="324"/>
      <c r="S52" s="325"/>
    </row>
    <row r="53" spans="2:19" ht="14.1" customHeight="1" x14ac:dyDescent="0.25">
      <c r="B53" s="59"/>
      <c r="C53" s="8"/>
      <c r="D53" s="189"/>
      <c r="E53" s="189"/>
      <c r="F53" s="189"/>
      <c r="G53" s="189"/>
      <c r="H53" s="189"/>
      <c r="I53" s="189"/>
      <c r="J53" s="186"/>
      <c r="K53" s="73"/>
      <c r="L53" s="190"/>
      <c r="M53" s="191"/>
      <c r="N53" s="191"/>
      <c r="O53" s="191"/>
      <c r="P53" s="191"/>
      <c r="Q53" s="191"/>
      <c r="R53" s="191"/>
      <c r="S53" s="192"/>
    </row>
    <row r="54" spans="2:19" ht="14.1" customHeight="1" x14ac:dyDescent="0.25">
      <c r="B54" s="60"/>
      <c r="C54" s="62"/>
      <c r="D54" s="62"/>
      <c r="E54" s="62"/>
      <c r="F54" s="62"/>
      <c r="G54" s="62"/>
      <c r="H54" s="62"/>
      <c r="I54" s="62"/>
      <c r="J54" s="185"/>
      <c r="K54" s="73"/>
      <c r="L54" s="8"/>
      <c r="M54" s="62"/>
      <c r="N54" s="62"/>
      <c r="O54" s="62"/>
      <c r="P54" s="62"/>
      <c r="Q54" s="62"/>
      <c r="R54" s="62"/>
      <c r="S54" s="197"/>
    </row>
    <row r="55" spans="2:19" ht="15.75" customHeight="1" x14ac:dyDescent="0.25">
      <c r="B55" s="216" t="s">
        <v>608</v>
      </c>
      <c r="C55" s="62"/>
      <c r="D55" s="62"/>
      <c r="E55" s="62"/>
      <c r="F55" s="62"/>
      <c r="G55" s="62"/>
      <c r="H55" s="62"/>
      <c r="I55" s="62"/>
      <c r="J55" s="185"/>
      <c r="K55" s="215" t="s">
        <v>608</v>
      </c>
      <c r="L55" s="8"/>
      <c r="M55" s="62"/>
      <c r="N55" s="62"/>
      <c r="O55" s="62"/>
      <c r="P55" s="62"/>
      <c r="Q55" s="62"/>
      <c r="R55" s="62"/>
      <c r="S55" s="197"/>
    </row>
    <row r="56" spans="2:19" ht="7.5" customHeight="1" thickBot="1" x14ac:dyDescent="0.3">
      <c r="B56" s="195"/>
      <c r="C56" s="187"/>
      <c r="D56" s="196"/>
      <c r="E56" s="196"/>
      <c r="F56" s="196"/>
      <c r="G56" s="187"/>
      <c r="H56" s="196"/>
      <c r="I56" s="196"/>
      <c r="J56" s="188"/>
      <c r="L56" s="196"/>
      <c r="M56" s="198"/>
      <c r="N56" s="198"/>
      <c r="O56" s="187"/>
      <c r="P56" s="199"/>
      <c r="Q56" s="199"/>
      <c r="R56" s="199"/>
      <c r="S56" s="200"/>
    </row>
    <row r="57" spans="2:19" ht="20.100000000000001" customHeight="1" x14ac:dyDescent="0.25">
      <c r="B57" s="340" t="s">
        <v>3419</v>
      </c>
      <c r="C57" s="341"/>
      <c r="D57" s="341"/>
      <c r="E57" s="341"/>
      <c r="F57" s="341"/>
      <c r="G57" s="341"/>
      <c r="H57" s="341"/>
      <c r="I57" s="341"/>
      <c r="J57" s="341"/>
      <c r="K57" s="341"/>
      <c r="L57" s="341"/>
      <c r="M57" s="341"/>
      <c r="N57" s="341"/>
      <c r="O57" s="341"/>
      <c r="P57" s="341"/>
      <c r="Q57" s="341"/>
      <c r="R57" s="341"/>
      <c r="S57" s="342"/>
    </row>
    <row r="58" spans="2:19" ht="15" customHeight="1" x14ac:dyDescent="0.25">
      <c r="B58" s="326" t="s">
        <v>3420</v>
      </c>
      <c r="C58" s="327"/>
      <c r="D58" s="327"/>
      <c r="E58" s="327"/>
      <c r="F58" s="327"/>
      <c r="G58" s="327"/>
      <c r="H58" s="327"/>
      <c r="I58" s="327"/>
      <c r="J58" s="327"/>
      <c r="K58" s="327"/>
      <c r="L58" s="327"/>
      <c r="M58" s="327"/>
      <c r="N58" s="327"/>
      <c r="O58" s="327"/>
      <c r="P58" s="327"/>
      <c r="Q58" s="327"/>
      <c r="R58" s="327"/>
      <c r="S58" s="328"/>
    </row>
    <row r="59" spans="2:19" ht="18.899999999999999" customHeight="1" x14ac:dyDescent="0.25">
      <c r="B59" s="5"/>
      <c r="C59" s="201" t="b">
        <v>0</v>
      </c>
      <c r="D59" s="201"/>
      <c r="E59" s="201"/>
      <c r="F59" s="201"/>
      <c r="G59" s="201" t="b">
        <v>0</v>
      </c>
      <c r="H59" s="201"/>
      <c r="I59" s="201"/>
      <c r="J59" s="201" t="b">
        <v>0</v>
      </c>
      <c r="K59" s="201"/>
      <c r="L59" s="201"/>
      <c r="M59" s="201"/>
      <c r="N59" s="201" t="b">
        <v>0</v>
      </c>
      <c r="O59" s="201"/>
      <c r="P59" s="201"/>
      <c r="Q59" s="201"/>
      <c r="R59" s="201"/>
      <c r="S59" s="13"/>
    </row>
    <row r="60" spans="2:19" ht="18.899999999999999" customHeight="1" x14ac:dyDescent="0.25">
      <c r="B60" s="332"/>
      <c r="C60" s="333"/>
      <c r="D60" s="333"/>
      <c r="E60" s="333"/>
      <c r="F60" s="333"/>
      <c r="G60" s="333"/>
      <c r="H60" s="333"/>
      <c r="I60" s="333"/>
      <c r="J60" s="333"/>
      <c r="K60" s="333"/>
      <c r="L60" s="333"/>
      <c r="M60" s="333"/>
      <c r="N60" s="333"/>
      <c r="O60" s="210"/>
      <c r="P60" s="210"/>
      <c r="Q60" s="210"/>
      <c r="R60" s="210"/>
      <c r="S60" s="211"/>
    </row>
    <row r="61" spans="2:19" ht="18.899999999999999" customHeight="1" x14ac:dyDescent="0.25">
      <c r="B61" s="334"/>
      <c r="C61" s="335"/>
      <c r="D61" s="335"/>
      <c r="E61" s="335"/>
      <c r="F61" s="335"/>
      <c r="G61" s="335"/>
      <c r="H61" s="335"/>
      <c r="I61" s="335"/>
      <c r="J61" s="335"/>
      <c r="K61" s="335"/>
      <c r="L61" s="335"/>
      <c r="M61" s="335"/>
      <c r="N61" s="335"/>
      <c r="O61" s="202"/>
      <c r="P61" s="202"/>
      <c r="Q61" s="202"/>
      <c r="R61" s="202"/>
      <c r="S61" s="203"/>
    </row>
    <row r="62" spans="2:19" ht="18.899999999999999" customHeight="1" x14ac:dyDescent="0.25">
      <c r="B62" s="345" t="s">
        <v>3427</v>
      </c>
      <c r="C62" s="346"/>
      <c r="D62" s="346"/>
      <c r="E62" s="346"/>
      <c r="F62" s="346"/>
      <c r="G62" s="346"/>
      <c r="H62" s="343"/>
      <c r="I62" s="343"/>
      <c r="J62" s="343"/>
      <c r="K62" s="343"/>
      <c r="L62" s="343"/>
      <c r="M62" s="218"/>
      <c r="N62" s="219" t="s">
        <v>3422</v>
      </c>
      <c r="O62" s="344"/>
      <c r="P62" s="344"/>
      <c r="Q62" s="344"/>
      <c r="R62" s="344"/>
      <c r="S62" s="181"/>
    </row>
    <row r="63" spans="2:19" ht="34.5" customHeight="1" x14ac:dyDescent="0.25">
      <c r="B63" s="212"/>
      <c r="C63" s="204"/>
      <c r="D63" s="204"/>
      <c r="E63" s="204"/>
      <c r="F63" s="205"/>
      <c r="G63" s="213"/>
      <c r="H63" s="205"/>
      <c r="I63" s="205"/>
      <c r="J63" s="205"/>
      <c r="K63" s="206"/>
      <c r="L63" s="180"/>
      <c r="M63" s="180"/>
      <c r="N63" s="213"/>
      <c r="O63" s="180"/>
      <c r="P63" s="180"/>
      <c r="Q63" s="180"/>
      <c r="R63" s="180"/>
      <c r="S63" s="181"/>
    </row>
    <row r="64" spans="2:19" ht="12.75" customHeight="1" x14ac:dyDescent="0.25">
      <c r="B64" s="217" t="s">
        <v>608</v>
      </c>
      <c r="C64" s="336"/>
      <c r="D64" s="336"/>
      <c r="E64" s="336"/>
      <c r="F64" s="336"/>
      <c r="G64" s="336"/>
      <c r="H64" s="336"/>
      <c r="I64" s="220" t="s">
        <v>609</v>
      </c>
      <c r="J64" s="337"/>
      <c r="K64" s="337"/>
      <c r="L64" s="337"/>
      <c r="M64" s="180"/>
      <c r="N64" s="219" t="s">
        <v>3425</v>
      </c>
      <c r="O64" s="338"/>
      <c r="P64" s="338"/>
      <c r="Q64" s="338"/>
      <c r="R64" s="338"/>
      <c r="S64" s="339"/>
    </row>
    <row r="65" spans="2:19" ht="5.25" customHeight="1" thickBot="1" x14ac:dyDescent="0.3">
      <c r="B65" s="207"/>
      <c r="C65" s="208"/>
      <c r="D65" s="208"/>
      <c r="E65" s="208"/>
      <c r="F65" s="208"/>
      <c r="G65" s="208"/>
      <c r="H65" s="208"/>
      <c r="I65" s="208"/>
      <c r="J65" s="208"/>
      <c r="K65" s="208"/>
      <c r="L65" s="208"/>
      <c r="M65" s="208"/>
      <c r="N65" s="208"/>
      <c r="O65" s="208"/>
      <c r="P65" s="208"/>
      <c r="Q65" s="208"/>
      <c r="R65" s="208"/>
      <c r="S65" s="209"/>
    </row>
    <row r="66" spans="2:19" ht="23.25" customHeight="1" x14ac:dyDescent="0.25">
      <c r="B66" s="329" t="s">
        <v>3421</v>
      </c>
      <c r="C66" s="330"/>
      <c r="D66" s="330"/>
      <c r="E66" s="330"/>
      <c r="F66" s="330"/>
      <c r="G66" s="330"/>
      <c r="H66" s="330"/>
      <c r="I66" s="330"/>
      <c r="J66" s="330"/>
      <c r="K66" s="330"/>
      <c r="L66" s="330"/>
      <c r="M66" s="330"/>
      <c r="N66" s="330"/>
      <c r="O66" s="330"/>
      <c r="P66" s="330"/>
      <c r="Q66" s="330"/>
      <c r="R66" s="330"/>
      <c r="S66" s="331"/>
    </row>
    <row r="67" spans="2:19" ht="15" customHeight="1" x14ac:dyDescent="0.25">
      <c r="B67" s="318" t="s">
        <v>3423</v>
      </c>
      <c r="C67" s="319"/>
      <c r="D67" s="319"/>
      <c r="E67" s="319"/>
      <c r="F67" s="319"/>
      <c r="G67" s="319"/>
      <c r="H67" s="319"/>
      <c r="I67" s="319"/>
      <c r="J67" s="319"/>
      <c r="K67" s="319"/>
      <c r="L67" s="319"/>
      <c r="M67" s="319"/>
      <c r="N67" s="319"/>
      <c r="O67" s="319"/>
      <c r="P67" s="319"/>
      <c r="Q67" s="319"/>
      <c r="R67" s="319"/>
      <c r="S67" s="320"/>
    </row>
    <row r="68" spans="2:19" ht="18" thickBot="1" x14ac:dyDescent="0.35">
      <c r="B68" s="321" t="s">
        <v>3424</v>
      </c>
      <c r="C68" s="322"/>
      <c r="D68" s="322"/>
      <c r="E68" s="322"/>
      <c r="F68" s="322"/>
      <c r="G68" s="322"/>
      <c r="H68" s="322"/>
      <c r="I68" s="322"/>
      <c r="J68" s="322"/>
      <c r="K68" s="322"/>
      <c r="L68" s="322"/>
      <c r="M68" s="322"/>
      <c r="N68" s="322"/>
      <c r="O68" s="322"/>
      <c r="P68" s="322"/>
      <c r="Q68" s="322"/>
      <c r="R68" s="322"/>
      <c r="S68" s="323"/>
    </row>
    <row r="74" spans="2:19" x14ac:dyDescent="0.25">
      <c r="I74" s="14"/>
    </row>
  </sheetData>
  <sheetProtection sheet="1" objects="1" scenarios="1" selectLockedCells="1"/>
  <mergeCells count="78">
    <mergeCell ref="B67:S67"/>
    <mergeCell ref="B68:S68"/>
    <mergeCell ref="Q52:S52"/>
    <mergeCell ref="B58:S58"/>
    <mergeCell ref="B66:S66"/>
    <mergeCell ref="B60:N60"/>
    <mergeCell ref="B61:N61"/>
    <mergeCell ref="C64:H64"/>
    <mergeCell ref="J64:L64"/>
    <mergeCell ref="O64:S64"/>
    <mergeCell ref="K52:L52"/>
    <mergeCell ref="B57:S57"/>
    <mergeCell ref="H62:L62"/>
    <mergeCell ref="O62:R62"/>
    <mergeCell ref="B62:G62"/>
    <mergeCell ref="K51:L51"/>
    <mergeCell ref="M52:O52"/>
    <mergeCell ref="I52:J52"/>
    <mergeCell ref="B29:C29"/>
    <mergeCell ref="B47:S47"/>
    <mergeCell ref="B44:S44"/>
    <mergeCell ref="B49:J49"/>
    <mergeCell ref="M51:S51"/>
    <mergeCell ref="B33:S33"/>
    <mergeCell ref="B37:S37"/>
    <mergeCell ref="B40:S40"/>
    <mergeCell ref="B38:S38"/>
    <mergeCell ref="B36:S36"/>
    <mergeCell ref="K49:S49"/>
    <mergeCell ref="K50:S50"/>
    <mergeCell ref="B48:S48"/>
    <mergeCell ref="B24:S24"/>
    <mergeCell ref="B23:S23"/>
    <mergeCell ref="P29:S29"/>
    <mergeCell ref="B45:S45"/>
    <mergeCell ref="B30:C30"/>
    <mergeCell ref="B31:C31"/>
    <mergeCell ref="B32:C32"/>
    <mergeCell ref="N31:O31"/>
    <mergeCell ref="D30:S30"/>
    <mergeCell ref="H31:I31"/>
    <mergeCell ref="D31:G31"/>
    <mergeCell ref="J31:M31"/>
    <mergeCell ref="P31:S31"/>
    <mergeCell ref="D32:S32"/>
    <mergeCell ref="B46:S46"/>
    <mergeCell ref="D29:N29"/>
    <mergeCell ref="B25:C25"/>
    <mergeCell ref="K25:L25"/>
    <mergeCell ref="B26:G26"/>
    <mergeCell ref="M25:S25"/>
    <mergeCell ref="D25:J25"/>
    <mergeCell ref="H26:S26"/>
    <mergeCell ref="B39:S39"/>
    <mergeCell ref="B22:C22"/>
    <mergeCell ref="P18:S18"/>
    <mergeCell ref="P19:S19"/>
    <mergeCell ref="B21:S21"/>
    <mergeCell ref="B20:S20"/>
    <mergeCell ref="J22:K22"/>
    <mergeCell ref="L22:S22"/>
    <mergeCell ref="D22:I22"/>
    <mergeCell ref="B50:J50"/>
    <mergeCell ref="I51:J51"/>
    <mergeCell ref="C52:G52"/>
    <mergeCell ref="C51:G51"/>
    <mergeCell ref="H7:S7"/>
    <mergeCell ref="C8:G10"/>
    <mergeCell ref="B17:S17"/>
    <mergeCell ref="B14:S14"/>
    <mergeCell ref="B15:S15"/>
    <mergeCell ref="B16:S16"/>
    <mergeCell ref="P12:R12"/>
    <mergeCell ref="B28:S28"/>
    <mergeCell ref="D19:M19"/>
    <mergeCell ref="B27:S27"/>
    <mergeCell ref="B18:C18"/>
    <mergeCell ref="B19:C19"/>
  </mergeCells>
  <phoneticPr fontId="3" type="noConversion"/>
  <printOptions horizontalCentered="1" verticalCentered="1"/>
  <pageMargins left="0.19685039370078741" right="0.19685039370078741" top="0" bottom="0" header="0" footer="0"/>
  <pageSetup paperSize="9" scale="89" orientation="portrait" r:id="rId1"/>
  <drawing r:id="rId2"/>
  <legacyDrawing r:id="rId3"/>
  <controls>
    <mc:AlternateContent xmlns:mc="http://schemas.openxmlformats.org/markup-compatibility/2006">
      <mc:Choice Requires="x14">
        <control shapeId="1048" r:id="rId4" name="chkNoCert">
          <controlPr defaultSize="0" autoLine="0" linkedCell="I34" r:id="rId5">
            <anchor moveWithCells="1">
              <from>
                <xdr:col>1</xdr:col>
                <xdr:colOff>114300</xdr:colOff>
                <xdr:row>34</xdr:row>
                <xdr:rowOff>22860</xdr:rowOff>
              </from>
              <to>
                <xdr:col>3</xdr:col>
                <xdr:colOff>228600</xdr:colOff>
                <xdr:row>35</xdr:row>
                <xdr:rowOff>0</xdr:rowOff>
              </to>
            </anchor>
          </controlPr>
        </control>
      </mc:Choice>
      <mc:Fallback>
        <control shapeId="1048" r:id="rId4" name="chkNoCert"/>
      </mc:Fallback>
    </mc:AlternateContent>
    <mc:AlternateContent xmlns:mc="http://schemas.openxmlformats.org/markup-compatibility/2006">
      <mc:Choice Requires="x14">
        <control shapeId="1250" r:id="rId6" name="chkNoLabelling">
          <controlPr defaultSize="0" autoLine="0" linkedCell="M34" r:id="rId7">
            <anchor moveWithCells="1">
              <from>
                <xdr:col>5</xdr:col>
                <xdr:colOff>297180</xdr:colOff>
                <xdr:row>34</xdr:row>
                <xdr:rowOff>22860</xdr:rowOff>
              </from>
              <to>
                <xdr:col>8</xdr:col>
                <xdr:colOff>320040</xdr:colOff>
                <xdr:row>35</xdr:row>
                <xdr:rowOff>0</xdr:rowOff>
              </to>
            </anchor>
          </controlPr>
        </control>
      </mc:Choice>
      <mc:Fallback>
        <control shapeId="1250" r:id="rId6" name="chkNoLabelling"/>
      </mc:Fallback>
    </mc:AlternateContent>
    <mc:AlternateContent xmlns:mc="http://schemas.openxmlformats.org/markup-compatibility/2006">
      <mc:Choice Requires="x14">
        <control shapeId="1251" r:id="rId8" name="chkNoManifest">
          <controlPr defaultSize="0" autoLine="0" linkedCell="P34" r:id="rId9">
            <anchor moveWithCells="1">
              <from>
                <xdr:col>9</xdr:col>
                <xdr:colOff>350520</xdr:colOff>
                <xdr:row>34</xdr:row>
                <xdr:rowOff>22860</xdr:rowOff>
              </from>
              <to>
                <xdr:col>12</xdr:col>
                <xdr:colOff>175260</xdr:colOff>
                <xdr:row>35</xdr:row>
                <xdr:rowOff>0</xdr:rowOff>
              </to>
            </anchor>
          </controlPr>
        </control>
      </mc:Choice>
      <mc:Fallback>
        <control shapeId="1251" r:id="rId8" name="chkNoManifest"/>
      </mc:Fallback>
    </mc:AlternateContent>
    <mc:AlternateContent xmlns:mc="http://schemas.openxmlformats.org/markup-compatibility/2006">
      <mc:Choice Requires="x14">
        <control shapeId="1252" r:id="rId10" name="chkOther">
          <controlPr defaultSize="0" autoLine="0" linkedCell="I35" r:id="rId11">
            <anchor moveWithCells="1">
              <from>
                <xdr:col>13</xdr:col>
                <xdr:colOff>175260</xdr:colOff>
                <xdr:row>34</xdr:row>
                <xdr:rowOff>22860</xdr:rowOff>
              </from>
              <to>
                <xdr:col>16</xdr:col>
                <xdr:colOff>243840</xdr:colOff>
                <xdr:row>35</xdr:row>
                <xdr:rowOff>0</xdr:rowOff>
              </to>
            </anchor>
          </controlPr>
        </control>
      </mc:Choice>
      <mc:Fallback>
        <control shapeId="1252" r:id="rId10" name="chkOther"/>
      </mc:Fallback>
    </mc:AlternateContent>
    <mc:AlternateContent xmlns:mc="http://schemas.openxmlformats.org/markup-compatibility/2006">
      <mc:Choice Requires="x14">
        <control shapeId="1254" r:id="rId12" name="cmdNew">
          <controlPr locked="0" defaultSize="0" autoLine="0" r:id="rId13">
            <anchor moveWithCells="1">
              <from>
                <xdr:col>1</xdr:col>
                <xdr:colOff>0</xdr:colOff>
                <xdr:row>0</xdr:row>
                <xdr:rowOff>152400</xdr:rowOff>
              </from>
              <to>
                <xdr:col>3</xdr:col>
                <xdr:colOff>182880</xdr:colOff>
                <xdr:row>2</xdr:row>
                <xdr:rowOff>76200</xdr:rowOff>
              </to>
            </anchor>
          </controlPr>
        </control>
      </mc:Choice>
      <mc:Fallback>
        <control shapeId="1254" r:id="rId12" name="cmdNew"/>
      </mc:Fallback>
    </mc:AlternateContent>
    <mc:AlternateContent xmlns:mc="http://schemas.openxmlformats.org/markup-compatibility/2006">
      <mc:Choice Requires="x14">
        <control shapeId="1255" r:id="rId14" name="cmdMoveFirst">
          <controlPr locked="0" defaultSize="0" autoLine="0" r:id="rId15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1</xdr:col>
                <xdr:colOff>601980</xdr:colOff>
                <xdr:row>4</xdr:row>
                <xdr:rowOff>91440</xdr:rowOff>
              </to>
            </anchor>
          </controlPr>
        </control>
      </mc:Choice>
      <mc:Fallback>
        <control shapeId="1255" r:id="rId14" name="cmdMoveFirst"/>
      </mc:Fallback>
    </mc:AlternateContent>
    <mc:AlternateContent xmlns:mc="http://schemas.openxmlformats.org/markup-compatibility/2006">
      <mc:Choice Requires="x14">
        <control shapeId="1256" r:id="rId16" name="cmdMoveForward">
          <controlPr locked="0" defaultSize="0" autoLine="0" r:id="rId17">
            <anchor moveWithCells="1">
              <from>
                <xdr:col>4</xdr:col>
                <xdr:colOff>190500</xdr:colOff>
                <xdr:row>3</xdr:row>
                <xdr:rowOff>0</xdr:rowOff>
              </from>
              <to>
                <xdr:col>6</xdr:col>
                <xdr:colOff>0</xdr:colOff>
                <xdr:row>4</xdr:row>
                <xdr:rowOff>99060</xdr:rowOff>
              </to>
            </anchor>
          </controlPr>
        </control>
      </mc:Choice>
      <mc:Fallback>
        <control shapeId="1256" r:id="rId16" name="cmdMoveForward"/>
      </mc:Fallback>
    </mc:AlternateContent>
    <mc:AlternateContent xmlns:mc="http://schemas.openxmlformats.org/markup-compatibility/2006">
      <mc:Choice Requires="x14">
        <control shapeId="1257" r:id="rId18" name="cmdMoveBack">
          <controlPr locked="0" defaultSize="0" autoLine="0" r:id="rId19">
            <anchor moveWithCells="1">
              <from>
                <xdr:col>2</xdr:col>
                <xdr:colOff>327660</xdr:colOff>
                <xdr:row>3</xdr:row>
                <xdr:rowOff>7620</xdr:rowOff>
              </from>
              <to>
                <xdr:col>4</xdr:col>
                <xdr:colOff>99060</xdr:colOff>
                <xdr:row>4</xdr:row>
                <xdr:rowOff>99060</xdr:rowOff>
              </to>
            </anchor>
          </controlPr>
        </control>
      </mc:Choice>
      <mc:Fallback>
        <control shapeId="1257" r:id="rId18" name="cmdMoveBack"/>
      </mc:Fallback>
    </mc:AlternateContent>
    <mc:AlternateContent xmlns:mc="http://schemas.openxmlformats.org/markup-compatibility/2006">
      <mc:Choice Requires="x14">
        <control shapeId="1258" r:id="rId20" name="cmdMoveLast">
          <controlPr locked="0" defaultSize="0" autoLine="0" r:id="rId21">
            <anchor moveWithCells="1">
              <from>
                <xdr:col>6</xdr:col>
                <xdr:colOff>106680</xdr:colOff>
                <xdr:row>3</xdr:row>
                <xdr:rowOff>7620</xdr:rowOff>
              </from>
              <to>
                <xdr:col>7</xdr:col>
                <xdr:colOff>327660</xdr:colOff>
                <xdr:row>4</xdr:row>
                <xdr:rowOff>91440</xdr:rowOff>
              </to>
            </anchor>
          </controlPr>
        </control>
      </mc:Choice>
      <mc:Fallback>
        <control shapeId="1258" r:id="rId20" name="cmdMoveLast"/>
      </mc:Fallback>
    </mc:AlternateContent>
    <mc:AlternateContent xmlns:mc="http://schemas.openxmlformats.org/markup-compatibility/2006">
      <mc:Choice Requires="x14">
        <control shapeId="1449" r:id="rId22" name="chkReleased">
          <controlPr defaultSize="0" autoLine="0" linkedCell="C59" r:id="rId23">
            <anchor moveWithCells="1">
              <from>
                <xdr:col>1</xdr:col>
                <xdr:colOff>213360</xdr:colOff>
                <xdr:row>58</xdr:row>
                <xdr:rowOff>22860</xdr:rowOff>
              </from>
              <to>
                <xdr:col>3</xdr:col>
                <xdr:colOff>327660</xdr:colOff>
                <xdr:row>59</xdr:row>
                <xdr:rowOff>15240</xdr:rowOff>
              </to>
            </anchor>
          </controlPr>
        </control>
      </mc:Choice>
      <mc:Fallback>
        <control shapeId="1449" r:id="rId22" name="chkReleased"/>
      </mc:Fallback>
    </mc:AlternateContent>
    <mc:AlternateContent xmlns:mc="http://schemas.openxmlformats.org/markup-compatibility/2006">
      <mc:Choice Requires="x14">
        <control shapeId="1450" r:id="rId24" name="chkRedirected">
          <controlPr defaultSize="0" autoLine="0" linkedCell="G59" r:id="rId25">
            <anchor moveWithCells="1">
              <from>
                <xdr:col>5</xdr:col>
                <xdr:colOff>152400</xdr:colOff>
                <xdr:row>58</xdr:row>
                <xdr:rowOff>22860</xdr:rowOff>
              </from>
              <to>
                <xdr:col>8</xdr:col>
                <xdr:colOff>175260</xdr:colOff>
                <xdr:row>59</xdr:row>
                <xdr:rowOff>7620</xdr:rowOff>
              </to>
            </anchor>
          </controlPr>
        </control>
      </mc:Choice>
      <mc:Fallback>
        <control shapeId="1450" r:id="rId24" name="chkRedirected"/>
      </mc:Fallback>
    </mc:AlternateContent>
    <mc:AlternateContent xmlns:mc="http://schemas.openxmlformats.org/markup-compatibility/2006">
      <mc:Choice Requires="x14">
        <control shapeId="1451" r:id="rId26" name="chkForDestruction">
          <controlPr defaultSize="0" autoLine="0" linkedCell="J59" r:id="rId27">
            <anchor moveWithCells="1">
              <from>
                <xdr:col>9</xdr:col>
                <xdr:colOff>22860</xdr:colOff>
                <xdr:row>58</xdr:row>
                <xdr:rowOff>22860</xdr:rowOff>
              </from>
              <to>
                <xdr:col>12</xdr:col>
                <xdr:colOff>83820</xdr:colOff>
                <xdr:row>59</xdr:row>
                <xdr:rowOff>7620</xdr:rowOff>
              </to>
            </anchor>
          </controlPr>
        </control>
      </mc:Choice>
      <mc:Fallback>
        <control shapeId="1451" r:id="rId26" name="chkForDestruction"/>
      </mc:Fallback>
    </mc:AlternateContent>
    <mc:AlternateContent xmlns:mc="http://schemas.openxmlformats.org/markup-compatibility/2006">
      <mc:Choice Requires="x14">
        <control shapeId="1452" r:id="rId28" name="chkOtherAction">
          <controlPr defaultSize="0" autoLine="0" linkedCell="N59" r:id="rId29">
            <anchor moveWithCells="1">
              <from>
                <xdr:col>13</xdr:col>
                <xdr:colOff>83820</xdr:colOff>
                <xdr:row>58</xdr:row>
                <xdr:rowOff>22860</xdr:rowOff>
              </from>
              <to>
                <xdr:col>16</xdr:col>
                <xdr:colOff>175260</xdr:colOff>
                <xdr:row>59</xdr:row>
                <xdr:rowOff>7620</xdr:rowOff>
              </to>
            </anchor>
          </controlPr>
        </control>
      </mc:Choice>
      <mc:Fallback>
        <control shapeId="1452" r:id="rId28" name="chkOtherAction"/>
      </mc:Fallback>
    </mc:AlternateContent>
    <mc:AlternateContent xmlns:mc="http://schemas.openxmlformats.org/markup-compatibility/2006">
      <mc:Choice Requires="x14">
        <control shapeId="1497" r:id="rId30" name="cmdEdit">
          <controlPr locked="0" defaultSize="0" autoLine="0" r:id="rId31">
            <anchor moveWithCells="1">
              <from>
                <xdr:col>4</xdr:col>
                <xdr:colOff>190500</xdr:colOff>
                <xdr:row>0</xdr:row>
                <xdr:rowOff>152400</xdr:rowOff>
              </from>
              <to>
                <xdr:col>7</xdr:col>
                <xdr:colOff>342900</xdr:colOff>
                <xdr:row>2</xdr:row>
                <xdr:rowOff>76200</xdr:rowOff>
              </to>
            </anchor>
          </controlPr>
        </control>
      </mc:Choice>
      <mc:Fallback>
        <control shapeId="1497" r:id="rId30" name="cmdEdit"/>
      </mc:Fallback>
    </mc:AlternateContent>
    <mc:AlternateContent xmlns:mc="http://schemas.openxmlformats.org/markup-compatibility/2006">
      <mc:Choice Requires="x14">
        <control shapeId="1693" r:id="rId32" name="cmdQuickPrint">
          <controlPr defaultSize="0" autoLine="0" r:id="rId33">
            <anchor moveWithCells="1">
              <from>
                <xdr:col>10</xdr:col>
                <xdr:colOff>365760</xdr:colOff>
                <xdr:row>3</xdr:row>
                <xdr:rowOff>7620</xdr:rowOff>
              </from>
              <to>
                <xdr:col>13</xdr:col>
                <xdr:colOff>358140</xdr:colOff>
                <xdr:row>4</xdr:row>
                <xdr:rowOff>99060</xdr:rowOff>
              </to>
            </anchor>
          </controlPr>
        </control>
      </mc:Choice>
      <mc:Fallback>
        <control shapeId="1693" r:id="rId32" name="cmdQuickPrint"/>
      </mc:Fallback>
    </mc:AlternateContent>
    <mc:AlternateContent xmlns:mc="http://schemas.openxmlformats.org/markup-compatibility/2006">
      <mc:Choice Requires="x14">
        <control shapeId="1639" r:id="rId34" name="cmdTruckSheet">
          <controlPr defaultSize="0" autoLine="0" r:id="rId35">
            <anchor moveWithCells="1">
              <from>
                <xdr:col>31</xdr:col>
                <xdr:colOff>350520</xdr:colOff>
                <xdr:row>2</xdr:row>
                <xdr:rowOff>152400</xdr:rowOff>
              </from>
              <to>
                <xdr:col>33</xdr:col>
                <xdr:colOff>251460</xdr:colOff>
                <xdr:row>4</xdr:row>
                <xdr:rowOff>83820</xdr:rowOff>
              </to>
            </anchor>
          </controlPr>
        </control>
      </mc:Choice>
      <mc:Fallback>
        <control shapeId="1639" r:id="rId34" name="cmdTruckSheet"/>
      </mc:Fallback>
    </mc:AlternateContent>
    <mc:AlternateContent xmlns:mc="http://schemas.openxmlformats.org/markup-compatibility/2006">
      <mc:Choice Requires="x14">
        <control shapeId="1695" r:id="rId36" name="cmdPrintSheet">
          <controlPr defaultSize="0" autoLine="0" r:id="rId37">
            <anchor moveWithCells="1">
              <from>
                <xdr:col>7</xdr:col>
                <xdr:colOff>403860</xdr:colOff>
                <xdr:row>0</xdr:row>
                <xdr:rowOff>152400</xdr:rowOff>
              </from>
              <to>
                <xdr:col>10</xdr:col>
                <xdr:colOff>297180</xdr:colOff>
                <xdr:row>2</xdr:row>
                <xdr:rowOff>76200</xdr:rowOff>
              </to>
            </anchor>
          </controlPr>
        </control>
      </mc:Choice>
      <mc:Fallback>
        <control shapeId="1695" r:id="rId36" name="cmdPrintSheet"/>
      </mc:Fallback>
    </mc:AlternateContent>
    <mc:AlternateContent xmlns:mc="http://schemas.openxmlformats.org/markup-compatibility/2006">
      <mc:Choice Requires="x14">
        <control shapeId="1712" r:id="rId38" name="cmdPrintPreview">
          <controlPr defaultSize="0" autoLine="0" r:id="rId39">
            <anchor moveWithCells="1">
              <from>
                <xdr:col>7</xdr:col>
                <xdr:colOff>403860</xdr:colOff>
                <xdr:row>3</xdr:row>
                <xdr:rowOff>7620</xdr:rowOff>
              </from>
              <to>
                <xdr:col>10</xdr:col>
                <xdr:colOff>297180</xdr:colOff>
                <xdr:row>4</xdr:row>
                <xdr:rowOff>99060</xdr:rowOff>
              </to>
            </anchor>
          </controlPr>
        </control>
      </mc:Choice>
      <mc:Fallback>
        <control shapeId="1712" r:id="rId38" name="cmdPrintPreview"/>
      </mc:Fallback>
    </mc:AlternateContent>
    <mc:AlternateContent xmlns:mc="http://schemas.openxmlformats.org/markup-compatibility/2006">
      <mc:Choice Requires="x14">
        <control shapeId="1713" r:id="rId40" name="cmdExit">
          <controlPr defaultSize="0" autoLine="0" r:id="rId41">
            <anchor moveWithCells="1">
              <from>
                <xdr:col>10</xdr:col>
                <xdr:colOff>365760</xdr:colOff>
                <xdr:row>0</xdr:row>
                <xdr:rowOff>152400</xdr:rowOff>
              </from>
              <to>
                <xdr:col>13</xdr:col>
                <xdr:colOff>358140</xdr:colOff>
                <xdr:row>2</xdr:row>
                <xdr:rowOff>76200</xdr:rowOff>
              </to>
            </anchor>
          </controlPr>
        </control>
      </mc:Choice>
      <mc:Fallback>
        <control shapeId="1713" r:id="rId40" name="cmdExit"/>
      </mc:Fallback>
    </mc:AlternateContent>
    <mc:AlternateContent xmlns:mc="http://schemas.openxmlformats.org/markup-compatibility/2006">
      <mc:Choice Requires="x14">
        <control shapeId="1778" r:id="rId42" name="cmdEmail">
          <controlPr defaultSize="0" autoLine="0" r:id="rId43">
            <anchor moveWithCells="1">
              <from>
                <xdr:col>14</xdr:col>
                <xdr:colOff>83820</xdr:colOff>
                <xdr:row>3</xdr:row>
                <xdr:rowOff>7620</xdr:rowOff>
              </from>
              <to>
                <xdr:col>17</xdr:col>
                <xdr:colOff>30480</xdr:colOff>
                <xdr:row>4</xdr:row>
                <xdr:rowOff>99060</xdr:rowOff>
              </to>
            </anchor>
          </controlPr>
        </control>
      </mc:Choice>
      <mc:Fallback>
        <control shapeId="1778" r:id="rId42" name="cmdEmail"/>
      </mc:Fallback>
    </mc:AlternateContent>
    <mc:AlternateContent xmlns:mc="http://schemas.openxmlformats.org/markup-compatibility/2006">
      <mc:Choice Requires="x14">
        <control shapeId="1779" r:id="rId44" name="cmdSaveAs">
          <controlPr defaultSize="0" autoLine="0" r:id="rId45">
            <anchor moveWithCells="1">
              <from>
                <xdr:col>14</xdr:col>
                <xdr:colOff>83820</xdr:colOff>
                <xdr:row>0</xdr:row>
                <xdr:rowOff>152400</xdr:rowOff>
              </from>
              <to>
                <xdr:col>17</xdr:col>
                <xdr:colOff>30480</xdr:colOff>
                <xdr:row>2</xdr:row>
                <xdr:rowOff>76200</xdr:rowOff>
              </to>
            </anchor>
          </controlPr>
        </control>
      </mc:Choice>
      <mc:Fallback>
        <control shapeId="1779" r:id="rId44" name="cmdSaveAs"/>
      </mc:Fallback>
    </mc:AlternateContent>
    <mc:AlternateContent xmlns:mc="http://schemas.openxmlformats.org/markup-compatibility/2006">
      <mc:Choice Requires="x14">
        <control shapeId="1781" r:id="rId46" name="chkTransporterDepot">
          <controlPr defaultSize="0" autoLine="0" r:id="rId47">
            <anchor moveWithCells="1">
              <from>
                <xdr:col>1</xdr:col>
                <xdr:colOff>114300</xdr:colOff>
                <xdr:row>40</xdr:row>
                <xdr:rowOff>152400</xdr:rowOff>
              </from>
              <to>
                <xdr:col>5</xdr:col>
                <xdr:colOff>91440</xdr:colOff>
                <xdr:row>42</xdr:row>
                <xdr:rowOff>45720</xdr:rowOff>
              </to>
            </anchor>
          </controlPr>
        </control>
      </mc:Choice>
      <mc:Fallback>
        <control shapeId="1781" r:id="rId46" name="chkTransporterDepot"/>
      </mc:Fallback>
    </mc:AlternateContent>
    <mc:AlternateContent xmlns:mc="http://schemas.openxmlformats.org/markup-compatibility/2006">
      <mc:Choice Requires="x14">
        <control shapeId="1783" r:id="rId48" name="chkConsAddress">
          <controlPr defaultSize="0" autoLine="0" r:id="rId49">
            <anchor moveWithCells="1">
              <from>
                <xdr:col>7</xdr:col>
                <xdr:colOff>304800</xdr:colOff>
                <xdr:row>40</xdr:row>
                <xdr:rowOff>152400</xdr:rowOff>
              </from>
              <to>
                <xdr:col>13</xdr:col>
                <xdr:colOff>160020</xdr:colOff>
                <xdr:row>42</xdr:row>
                <xdr:rowOff>45720</xdr:rowOff>
              </to>
            </anchor>
          </controlPr>
        </control>
      </mc:Choice>
      <mc:Fallback>
        <control shapeId="1783" r:id="rId48" name="chkConsAddress"/>
      </mc:Fallback>
    </mc:AlternateContent>
    <mc:AlternateContent xmlns:mc="http://schemas.openxmlformats.org/markup-compatibility/2006">
      <mc:Choice Requires="x14">
        <control shapeId="1785" r:id="rId50" name="chkOtherDirection">
          <controlPr defaultSize="0" autoLine="0" r:id="rId51">
            <anchor moveWithCells="1">
              <from>
                <xdr:col>13</xdr:col>
                <xdr:colOff>289560</xdr:colOff>
                <xdr:row>41</xdr:row>
                <xdr:rowOff>0</xdr:rowOff>
              </from>
              <to>
                <xdr:col>17</xdr:col>
                <xdr:colOff>205740</xdr:colOff>
                <xdr:row>42</xdr:row>
                <xdr:rowOff>60960</xdr:rowOff>
              </to>
            </anchor>
          </controlPr>
        </control>
      </mc:Choice>
      <mc:Fallback>
        <control shapeId="1785" r:id="rId50" name="chkOtherDirect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F0"/>
  </sheetPr>
  <dimension ref="C5:AU210"/>
  <sheetViews>
    <sheetView workbookViewId="0">
      <selection activeCell="AU5" sqref="AU5"/>
    </sheetView>
  </sheetViews>
  <sheetFormatPr defaultRowHeight="13.2" x14ac:dyDescent="0.25"/>
  <cols>
    <col min="2" max="2" width="4.109375" customWidth="1"/>
    <col min="3" max="3" width="9.44140625" customWidth="1"/>
    <col min="4" max="4" width="11" customWidth="1"/>
    <col min="5" max="5" width="10" customWidth="1"/>
    <col min="6" max="6" width="7.44140625" customWidth="1"/>
    <col min="7" max="7" width="8.109375" customWidth="1"/>
    <col min="8" max="9" width="7.44140625" customWidth="1"/>
    <col min="10" max="10" width="8.33203125" customWidth="1"/>
    <col min="11" max="11" width="7.88671875" customWidth="1"/>
    <col min="12" max="12" width="8.6640625" customWidth="1"/>
    <col min="13" max="13" width="8.21875" customWidth="1"/>
    <col min="14" max="14" width="15.44140625" customWidth="1"/>
    <col min="15" max="15" width="11.44140625" customWidth="1"/>
    <col min="16" max="16" width="24" customWidth="1"/>
    <col min="17" max="17" width="17.88671875" customWidth="1"/>
    <col min="18" max="18" width="13.109375" customWidth="1"/>
    <col min="19" max="19" width="12.109375" customWidth="1"/>
    <col min="20" max="20" width="12.33203125" customWidth="1"/>
    <col min="21" max="21" width="16.109375" customWidth="1"/>
    <col min="22" max="22" width="15.109375" customWidth="1"/>
    <col min="23" max="23" width="15.33203125" customWidth="1"/>
    <col min="24" max="24" width="10.88671875" customWidth="1"/>
    <col min="25" max="25" width="12" customWidth="1"/>
    <col min="26" max="26" width="11.77734375" customWidth="1"/>
    <col min="27" max="27" width="13.44140625" customWidth="1"/>
    <col min="28" max="28" width="10.6640625" customWidth="1"/>
  </cols>
  <sheetData>
    <row r="5" spans="3:47" ht="146.4" x14ac:dyDescent="0.25">
      <c r="C5" s="63" t="s">
        <v>637</v>
      </c>
      <c r="D5" s="64" t="s">
        <v>611</v>
      </c>
      <c r="E5" s="64" t="s">
        <v>574</v>
      </c>
      <c r="F5" s="64" t="s">
        <v>2340</v>
      </c>
      <c r="G5" s="347" t="s">
        <v>3433</v>
      </c>
      <c r="H5" s="64" t="s">
        <v>612</v>
      </c>
      <c r="I5" s="64" t="s">
        <v>613</v>
      </c>
      <c r="J5" s="64" t="s">
        <v>614</v>
      </c>
      <c r="K5" s="64" t="s">
        <v>615</v>
      </c>
      <c r="L5" s="64" t="s">
        <v>616</v>
      </c>
      <c r="M5" s="64" t="s">
        <v>617</v>
      </c>
      <c r="N5" s="64" t="s">
        <v>628</v>
      </c>
      <c r="O5" s="64" t="s">
        <v>629</v>
      </c>
      <c r="P5" s="347" t="s">
        <v>3434</v>
      </c>
      <c r="Q5" s="347" t="s">
        <v>3435</v>
      </c>
      <c r="R5" s="64" t="s">
        <v>630</v>
      </c>
      <c r="S5" s="64" t="s">
        <v>631</v>
      </c>
      <c r="T5" s="64" t="s">
        <v>632</v>
      </c>
      <c r="U5" s="64" t="s">
        <v>633</v>
      </c>
      <c r="V5" s="64" t="s">
        <v>634</v>
      </c>
      <c r="W5" s="64" t="s">
        <v>635</v>
      </c>
      <c r="X5" s="64" t="s">
        <v>639</v>
      </c>
      <c r="Y5" s="64" t="s">
        <v>640</v>
      </c>
      <c r="Z5" s="64" t="s">
        <v>641</v>
      </c>
      <c r="AA5" s="64" t="s">
        <v>647</v>
      </c>
      <c r="AB5" s="65" t="s">
        <v>636</v>
      </c>
      <c r="AC5" s="66" t="s">
        <v>2338</v>
      </c>
      <c r="AD5" s="66" t="s">
        <v>2339</v>
      </c>
      <c r="AE5" s="66" t="s">
        <v>2341</v>
      </c>
      <c r="AF5" s="82" t="s">
        <v>2474</v>
      </c>
      <c r="AG5" s="64" t="s">
        <v>2463</v>
      </c>
      <c r="AH5" s="82" t="s">
        <v>2473</v>
      </c>
      <c r="AI5" s="348" t="s">
        <v>3437</v>
      </c>
      <c r="AJ5" s="348" t="s">
        <v>3438</v>
      </c>
      <c r="AK5" s="348" t="s">
        <v>3439</v>
      </c>
      <c r="AL5" s="348" t="s">
        <v>3440</v>
      </c>
      <c r="AM5" s="348" t="s">
        <v>3441</v>
      </c>
      <c r="AN5" s="348" t="s">
        <v>3442</v>
      </c>
      <c r="AO5" s="348" t="s">
        <v>3443</v>
      </c>
      <c r="AP5" s="348" t="s">
        <v>3444</v>
      </c>
      <c r="AQ5" s="348" t="s">
        <v>3445</v>
      </c>
      <c r="AR5" s="348" t="s">
        <v>3446</v>
      </c>
      <c r="AS5" s="348" t="s">
        <v>3447</v>
      </c>
      <c r="AT5" s="348" t="s">
        <v>3448</v>
      </c>
      <c r="AU5" s="82" t="s">
        <v>3436</v>
      </c>
    </row>
    <row r="6" spans="3:47" s="1" customFormat="1" x14ac:dyDescent="0.25">
      <c r="C6" s="83">
        <v>2</v>
      </c>
      <c r="D6" s="77" t="s">
        <v>828</v>
      </c>
      <c r="E6" s="77" t="s">
        <v>1307</v>
      </c>
      <c r="F6" s="77" t="s">
        <v>2360</v>
      </c>
      <c r="G6" s="77" t="s">
        <v>551</v>
      </c>
      <c r="H6" s="77" t="s">
        <v>383</v>
      </c>
      <c r="I6" s="84" t="s">
        <v>859</v>
      </c>
      <c r="J6" s="77" t="b">
        <v>1</v>
      </c>
      <c r="K6" s="77" t="b">
        <v>0</v>
      </c>
      <c r="L6" s="77" t="b">
        <v>0</v>
      </c>
      <c r="M6" s="77" t="b">
        <v>0</v>
      </c>
      <c r="N6" s="77"/>
      <c r="O6" s="77" t="s">
        <v>1517</v>
      </c>
      <c r="P6" s="77" t="s">
        <v>2424</v>
      </c>
      <c r="Q6" s="77"/>
      <c r="R6" s="77" t="s">
        <v>1623</v>
      </c>
      <c r="S6" s="84" t="s">
        <v>1996</v>
      </c>
      <c r="T6" s="84" t="s">
        <v>863</v>
      </c>
      <c r="U6" s="84" t="s">
        <v>552</v>
      </c>
      <c r="V6" s="84" t="s">
        <v>1996</v>
      </c>
      <c r="W6" s="84" t="s">
        <v>863</v>
      </c>
      <c r="X6" s="77" t="b">
        <v>0</v>
      </c>
      <c r="Y6" s="77" t="b">
        <v>0</v>
      </c>
      <c r="Z6" s="77" t="b">
        <v>0</v>
      </c>
      <c r="AA6" s="77" t="b">
        <v>1</v>
      </c>
      <c r="AB6" s="77" t="s">
        <v>1998</v>
      </c>
      <c r="AC6" s="159">
        <v>29</v>
      </c>
      <c r="AD6" s="77" t="s">
        <v>2347</v>
      </c>
      <c r="AE6" s="77" t="s">
        <v>1997</v>
      </c>
      <c r="AF6" s="85" t="s">
        <v>373</v>
      </c>
      <c r="AG6" s="77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  <c r="AS6" s="161"/>
      <c r="AT6" s="161"/>
      <c r="AU6" s="161"/>
    </row>
    <row r="7" spans="3:47" s="1" customFormat="1" x14ac:dyDescent="0.25">
      <c r="C7" s="155">
        <v>3</v>
      </c>
      <c r="D7" s="156" t="s">
        <v>3328</v>
      </c>
      <c r="E7" s="156" t="s">
        <v>1040</v>
      </c>
      <c r="F7" s="156" t="s">
        <v>2355</v>
      </c>
      <c r="G7" s="156" t="s">
        <v>551</v>
      </c>
      <c r="H7" s="156" t="s">
        <v>3329</v>
      </c>
      <c r="I7" s="157" t="s">
        <v>651</v>
      </c>
      <c r="J7" s="156" t="b">
        <v>1</v>
      </c>
      <c r="K7" s="156" t="b">
        <v>0</v>
      </c>
      <c r="L7" s="156" t="b">
        <v>0</v>
      </c>
      <c r="M7" s="156" t="b">
        <v>1</v>
      </c>
      <c r="N7" s="156" t="s">
        <v>3371</v>
      </c>
      <c r="O7" s="156"/>
      <c r="P7" s="156" t="s">
        <v>2424</v>
      </c>
      <c r="Q7" s="156"/>
      <c r="R7" s="156" t="s">
        <v>3330</v>
      </c>
      <c r="S7" s="157" t="s">
        <v>3331</v>
      </c>
      <c r="T7" s="157" t="s">
        <v>3332</v>
      </c>
      <c r="U7" s="157" t="s">
        <v>655</v>
      </c>
      <c r="V7" s="157" t="s">
        <v>3331</v>
      </c>
      <c r="W7" s="157" t="s">
        <v>3332</v>
      </c>
      <c r="X7" s="156" t="b">
        <v>0</v>
      </c>
      <c r="Y7" s="156" t="b">
        <v>0</v>
      </c>
      <c r="Z7" s="156" t="b">
        <v>0</v>
      </c>
      <c r="AA7" s="156" t="b">
        <v>0</v>
      </c>
      <c r="AB7" s="156"/>
      <c r="AC7" s="160">
        <v>72</v>
      </c>
      <c r="AD7" s="156" t="s">
        <v>2342</v>
      </c>
      <c r="AE7" s="156" t="s">
        <v>3333</v>
      </c>
      <c r="AF7" s="158" t="s">
        <v>3334</v>
      </c>
      <c r="AG7" s="156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</row>
    <row r="8" spans="3:47" s="1" customFormat="1" x14ac:dyDescent="0.25">
      <c r="C8" s="155">
        <v>4</v>
      </c>
      <c r="D8" s="156" t="s">
        <v>3212</v>
      </c>
      <c r="E8" s="156" t="s">
        <v>3213</v>
      </c>
      <c r="F8" s="156" t="s">
        <v>2358</v>
      </c>
      <c r="G8" s="156" t="s">
        <v>551</v>
      </c>
      <c r="H8" s="156" t="s">
        <v>3214</v>
      </c>
      <c r="I8" s="157" t="s">
        <v>3215</v>
      </c>
      <c r="J8" s="156" t="b">
        <v>1</v>
      </c>
      <c r="K8" s="156" t="b">
        <v>0</v>
      </c>
      <c r="L8" s="156" t="b">
        <v>0</v>
      </c>
      <c r="M8" s="156" t="b">
        <v>0</v>
      </c>
      <c r="N8" s="156"/>
      <c r="O8" s="156" t="s">
        <v>579</v>
      </c>
      <c r="P8" s="156" t="s">
        <v>2424</v>
      </c>
      <c r="Q8" s="156" t="s">
        <v>547</v>
      </c>
      <c r="R8" s="156" t="s">
        <v>3216</v>
      </c>
      <c r="S8" s="157" t="s">
        <v>3217</v>
      </c>
      <c r="T8" s="157" t="s">
        <v>3218</v>
      </c>
      <c r="U8" s="157" t="s">
        <v>655</v>
      </c>
      <c r="V8" s="157" t="s">
        <v>3217</v>
      </c>
      <c r="W8" s="157" t="s">
        <v>3218</v>
      </c>
      <c r="X8" s="156" t="b">
        <v>0</v>
      </c>
      <c r="Y8" s="156" t="b">
        <v>0</v>
      </c>
      <c r="Z8" s="156" t="b">
        <v>0</v>
      </c>
      <c r="AA8" s="156" t="b">
        <v>0</v>
      </c>
      <c r="AB8" s="156"/>
      <c r="AC8" s="160">
        <v>19</v>
      </c>
      <c r="AD8" s="156" t="s">
        <v>3128</v>
      </c>
      <c r="AE8" s="156" t="s">
        <v>3220</v>
      </c>
      <c r="AF8" s="158" t="s">
        <v>1641</v>
      </c>
      <c r="AG8" s="156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</row>
    <row r="9" spans="3:47" s="1" customFormat="1" x14ac:dyDescent="0.25">
      <c r="C9" s="155">
        <v>5</v>
      </c>
      <c r="D9" s="156" t="s">
        <v>934</v>
      </c>
      <c r="E9" s="156" t="s">
        <v>1037</v>
      </c>
      <c r="F9" s="156" t="s">
        <v>2375</v>
      </c>
      <c r="G9" s="156" t="s">
        <v>551</v>
      </c>
      <c r="H9" s="156" t="s">
        <v>3346</v>
      </c>
      <c r="I9" s="157" t="s">
        <v>3347</v>
      </c>
      <c r="J9" s="156" t="b">
        <v>1</v>
      </c>
      <c r="K9" s="156" t="b">
        <v>0</v>
      </c>
      <c r="L9" s="156" t="b">
        <v>0</v>
      </c>
      <c r="M9" s="156" t="b">
        <v>0</v>
      </c>
      <c r="N9" s="156"/>
      <c r="O9" s="156"/>
      <c r="P9" s="156" t="s">
        <v>67</v>
      </c>
      <c r="Q9" s="156" t="s">
        <v>547</v>
      </c>
      <c r="R9" s="156" t="s">
        <v>3349</v>
      </c>
      <c r="S9" s="157" t="s">
        <v>3430</v>
      </c>
      <c r="T9" s="157" t="s">
        <v>3431</v>
      </c>
      <c r="U9" s="157" t="s">
        <v>656</v>
      </c>
      <c r="V9" s="157" t="s">
        <v>3432</v>
      </c>
      <c r="W9" s="157" t="s">
        <v>3431</v>
      </c>
      <c r="X9" s="156" t="b">
        <v>0</v>
      </c>
      <c r="Y9" s="156" t="b">
        <v>0</v>
      </c>
      <c r="Z9" s="156" t="b">
        <v>0</v>
      </c>
      <c r="AA9" s="156" t="b">
        <v>0</v>
      </c>
      <c r="AB9" s="156"/>
      <c r="AC9" s="160">
        <v>20</v>
      </c>
      <c r="AD9" s="156" t="s">
        <v>2346</v>
      </c>
      <c r="AE9" s="156" t="s">
        <v>3335</v>
      </c>
      <c r="AF9" s="158" t="s">
        <v>3351</v>
      </c>
      <c r="AG9" s="156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</row>
    <row r="10" spans="3:47" s="1" customFormat="1" x14ac:dyDescent="0.25">
      <c r="C10" s="155">
        <v>6</v>
      </c>
      <c r="D10" s="156" t="s">
        <v>828</v>
      </c>
      <c r="E10" s="156" t="s">
        <v>1307</v>
      </c>
      <c r="F10" s="156" t="s">
        <v>2365</v>
      </c>
      <c r="G10" s="156" t="s">
        <v>551</v>
      </c>
      <c r="H10" s="156" t="s">
        <v>1538</v>
      </c>
      <c r="I10" s="157" t="s">
        <v>1539</v>
      </c>
      <c r="J10" s="156" t="b">
        <v>1</v>
      </c>
      <c r="K10" s="156" t="b">
        <v>0</v>
      </c>
      <c r="L10" s="156" t="b">
        <v>0</v>
      </c>
      <c r="M10" s="156" t="b">
        <v>0</v>
      </c>
      <c r="N10" s="156"/>
      <c r="O10" s="156"/>
      <c r="P10" s="156" t="s">
        <v>2425</v>
      </c>
      <c r="Q10" s="156"/>
      <c r="R10" s="156" t="s">
        <v>1545</v>
      </c>
      <c r="S10" s="157" t="s">
        <v>1540</v>
      </c>
      <c r="T10" s="157" t="s">
        <v>1541</v>
      </c>
      <c r="U10" s="157" t="s">
        <v>653</v>
      </c>
      <c r="V10" s="157" t="s">
        <v>1540</v>
      </c>
      <c r="W10" s="157" t="s">
        <v>1541</v>
      </c>
      <c r="X10" s="156" t="b">
        <v>0</v>
      </c>
      <c r="Y10" s="156" t="b">
        <v>0</v>
      </c>
      <c r="Z10" s="156" t="b">
        <v>0</v>
      </c>
      <c r="AA10" s="156" t="b">
        <v>0</v>
      </c>
      <c r="AB10" s="156"/>
      <c r="AC10" s="156" t="s">
        <v>1542</v>
      </c>
      <c r="AD10" s="156" t="s">
        <v>2342</v>
      </c>
      <c r="AE10" s="156" t="s">
        <v>1543</v>
      </c>
      <c r="AF10" s="158" t="s">
        <v>1544</v>
      </c>
      <c r="AG10" s="156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</row>
    <row r="11" spans="3:47" s="1" customFormat="1" x14ac:dyDescent="0.25">
      <c r="C11" s="155">
        <v>7</v>
      </c>
      <c r="D11" s="156" t="s">
        <v>828</v>
      </c>
      <c r="E11" s="156" t="s">
        <v>1307</v>
      </c>
      <c r="F11" s="156" t="s">
        <v>2380</v>
      </c>
      <c r="G11" s="156" t="s">
        <v>551</v>
      </c>
      <c r="H11" s="156" t="s">
        <v>1010</v>
      </c>
      <c r="I11" s="157" t="s">
        <v>1011</v>
      </c>
      <c r="J11" s="156" t="b">
        <v>1</v>
      </c>
      <c r="K11" s="156" t="b">
        <v>0</v>
      </c>
      <c r="L11" s="156" t="b">
        <v>0</v>
      </c>
      <c r="M11" s="156" t="b">
        <v>0</v>
      </c>
      <c r="N11" s="156"/>
      <c r="O11" s="156" t="s">
        <v>415</v>
      </c>
      <c r="P11" s="156" t="s">
        <v>2424</v>
      </c>
      <c r="Q11" s="156"/>
      <c r="R11" s="156" t="s">
        <v>1012</v>
      </c>
      <c r="S11" s="157" t="s">
        <v>1013</v>
      </c>
      <c r="T11" s="157" t="s">
        <v>1014</v>
      </c>
      <c r="U11" s="157" t="s">
        <v>655</v>
      </c>
      <c r="V11" s="157" t="s">
        <v>1013</v>
      </c>
      <c r="W11" s="157" t="s">
        <v>1014</v>
      </c>
      <c r="X11" s="156" t="b">
        <v>0</v>
      </c>
      <c r="Y11" s="156" t="b">
        <v>0</v>
      </c>
      <c r="Z11" s="156" t="b">
        <v>0</v>
      </c>
      <c r="AA11" s="156" t="b">
        <v>0</v>
      </c>
      <c r="AB11" s="156"/>
      <c r="AC11" s="156">
        <v>276</v>
      </c>
      <c r="AD11" s="156" t="s">
        <v>2343</v>
      </c>
      <c r="AE11" s="156" t="s">
        <v>134</v>
      </c>
      <c r="AF11" s="158" t="s">
        <v>207</v>
      </c>
      <c r="AG11" s="156"/>
      <c r="AH11" s="158"/>
      <c r="AI11" s="158"/>
      <c r="AJ11" s="158"/>
      <c r="AK11" s="158"/>
      <c r="AL11" s="158"/>
      <c r="AM11" s="158"/>
      <c r="AN11" s="158"/>
      <c r="AO11" s="158"/>
      <c r="AP11" s="158"/>
      <c r="AQ11" s="158"/>
      <c r="AR11" s="158"/>
      <c r="AS11" s="158"/>
      <c r="AT11" s="158"/>
      <c r="AU11" s="158"/>
    </row>
    <row r="12" spans="3:47" s="1" customFormat="1" x14ac:dyDescent="0.25">
      <c r="C12" s="155">
        <v>8</v>
      </c>
      <c r="D12" s="156" t="s">
        <v>934</v>
      </c>
      <c r="E12" s="156" t="s">
        <v>1037</v>
      </c>
      <c r="F12" s="156" t="s">
        <v>2359</v>
      </c>
      <c r="G12" s="156" t="s">
        <v>551</v>
      </c>
      <c r="H12" s="156" t="s">
        <v>1529</v>
      </c>
      <c r="I12" s="157" t="s">
        <v>1530</v>
      </c>
      <c r="J12" s="156" t="b">
        <v>1</v>
      </c>
      <c r="K12" s="156" t="b">
        <v>0</v>
      </c>
      <c r="L12" s="156" t="b">
        <v>0</v>
      </c>
      <c r="M12" s="156" t="b">
        <v>0</v>
      </c>
      <c r="N12" s="156"/>
      <c r="O12" s="156" t="s">
        <v>1531</v>
      </c>
      <c r="P12" s="156" t="s">
        <v>2424</v>
      </c>
      <c r="Q12" s="156" t="s">
        <v>547</v>
      </c>
      <c r="R12" s="156" t="s">
        <v>1532</v>
      </c>
      <c r="S12" s="157" t="s">
        <v>1533</v>
      </c>
      <c r="T12" s="157" t="s">
        <v>1534</v>
      </c>
      <c r="U12" s="157" t="s">
        <v>653</v>
      </c>
      <c r="V12" s="157" t="s">
        <v>1533</v>
      </c>
      <c r="W12" s="157" t="s">
        <v>1534</v>
      </c>
      <c r="X12" s="156" t="b">
        <v>0</v>
      </c>
      <c r="Y12" s="156" t="b">
        <v>0</v>
      </c>
      <c r="Z12" s="156" t="b">
        <v>0</v>
      </c>
      <c r="AA12" s="156" t="b">
        <v>0</v>
      </c>
      <c r="AB12" s="156"/>
      <c r="AC12" s="156" t="s">
        <v>2579</v>
      </c>
      <c r="AD12" s="156" t="s">
        <v>2345</v>
      </c>
      <c r="AE12" s="156" t="s">
        <v>651</v>
      </c>
      <c r="AF12" s="158" t="s">
        <v>651</v>
      </c>
      <c r="AG12" s="156"/>
      <c r="AH12" s="158"/>
      <c r="AI12" s="158"/>
      <c r="AJ12" s="158"/>
      <c r="AK12" s="158"/>
      <c r="AL12" s="158"/>
      <c r="AM12" s="158"/>
      <c r="AN12" s="158"/>
      <c r="AO12" s="158"/>
      <c r="AP12" s="158"/>
      <c r="AQ12" s="158"/>
      <c r="AR12" s="158"/>
      <c r="AS12" s="158"/>
      <c r="AT12" s="158"/>
      <c r="AU12" s="158"/>
    </row>
    <row r="13" spans="3:47" s="1" customFormat="1" x14ac:dyDescent="0.25">
      <c r="C13" s="155">
        <v>9</v>
      </c>
      <c r="D13" s="156" t="s">
        <v>828</v>
      </c>
      <c r="E13" s="156" t="s">
        <v>1307</v>
      </c>
      <c r="F13" s="156" t="s">
        <v>126</v>
      </c>
      <c r="G13" s="156" t="s">
        <v>551</v>
      </c>
      <c r="H13" s="156" t="s">
        <v>2681</v>
      </c>
      <c r="I13" s="157" t="s">
        <v>2681</v>
      </c>
      <c r="J13" s="156" t="b">
        <v>1</v>
      </c>
      <c r="K13" s="156" t="b">
        <v>0</v>
      </c>
      <c r="L13" s="156" t="b">
        <v>0</v>
      </c>
      <c r="M13" s="156" t="b">
        <v>0</v>
      </c>
      <c r="N13" s="156"/>
      <c r="O13" s="156" t="s">
        <v>1517</v>
      </c>
      <c r="P13" s="156" t="s">
        <v>2424</v>
      </c>
      <c r="Q13" s="156"/>
      <c r="R13" s="156" t="s">
        <v>2677</v>
      </c>
      <c r="S13" s="157" t="s">
        <v>2678</v>
      </c>
      <c r="T13" s="157" t="s">
        <v>2682</v>
      </c>
      <c r="U13" s="157" t="s">
        <v>655</v>
      </c>
      <c r="V13" s="157" t="s">
        <v>2678</v>
      </c>
      <c r="W13" s="157" t="s">
        <v>2682</v>
      </c>
      <c r="X13" s="156" t="b">
        <v>0</v>
      </c>
      <c r="Y13" s="156" t="b">
        <v>0</v>
      </c>
      <c r="Z13" s="156" t="b">
        <v>0</v>
      </c>
      <c r="AA13" s="156" t="b">
        <v>0</v>
      </c>
      <c r="AB13" s="156"/>
      <c r="AC13" s="156">
        <v>216</v>
      </c>
      <c r="AD13" s="156" t="s">
        <v>2684</v>
      </c>
      <c r="AE13" s="156" t="s">
        <v>939</v>
      </c>
      <c r="AF13" s="158" t="s">
        <v>373</v>
      </c>
      <c r="AG13" s="156"/>
      <c r="AH13" s="158"/>
      <c r="AI13" s="158"/>
      <c r="AJ13" s="158"/>
      <c r="AK13" s="158"/>
      <c r="AL13" s="158"/>
      <c r="AM13" s="158"/>
      <c r="AN13" s="158"/>
      <c r="AO13" s="158"/>
      <c r="AP13" s="158"/>
      <c r="AQ13" s="158"/>
      <c r="AR13" s="158"/>
      <c r="AS13" s="158"/>
      <c r="AT13" s="158"/>
      <c r="AU13" s="158"/>
    </row>
    <row r="14" spans="3:47" s="1" customFormat="1" x14ac:dyDescent="0.25">
      <c r="C14" s="155">
        <v>10</v>
      </c>
      <c r="D14" s="156" t="s">
        <v>828</v>
      </c>
      <c r="E14" s="156" t="s">
        <v>1307</v>
      </c>
      <c r="F14" s="156" t="s">
        <v>2375</v>
      </c>
      <c r="G14" s="156" t="s">
        <v>551</v>
      </c>
      <c r="H14" s="156" t="s">
        <v>575</v>
      </c>
      <c r="I14" s="157" t="s">
        <v>2511</v>
      </c>
      <c r="J14" s="156" t="b">
        <v>1</v>
      </c>
      <c r="K14" s="156" t="b">
        <v>0</v>
      </c>
      <c r="L14" s="156" t="b">
        <v>0</v>
      </c>
      <c r="M14" s="156" t="b">
        <v>0</v>
      </c>
      <c r="N14" s="156"/>
      <c r="O14" s="156" t="s">
        <v>2512</v>
      </c>
      <c r="P14" s="156" t="s">
        <v>67</v>
      </c>
      <c r="Q14" s="156" t="s">
        <v>547</v>
      </c>
      <c r="R14" s="156" t="s">
        <v>2513</v>
      </c>
      <c r="S14" s="157" t="s">
        <v>2514</v>
      </c>
      <c r="T14" s="157" t="s">
        <v>2515</v>
      </c>
      <c r="U14" s="157" t="s">
        <v>655</v>
      </c>
      <c r="V14" s="157" t="s">
        <v>2514</v>
      </c>
      <c r="W14" s="157" t="s">
        <v>2515</v>
      </c>
      <c r="X14" s="156" t="b">
        <v>0</v>
      </c>
      <c r="Y14" s="156" t="b">
        <v>0</v>
      </c>
      <c r="Z14" s="156" t="b">
        <v>0</v>
      </c>
      <c r="AA14" s="156" t="b">
        <v>0</v>
      </c>
      <c r="AB14" s="156"/>
      <c r="AC14" s="156">
        <v>42</v>
      </c>
      <c r="AD14" s="156" t="s">
        <v>2344</v>
      </c>
      <c r="AE14" s="156" t="s">
        <v>2516</v>
      </c>
      <c r="AF14" s="158" t="s">
        <v>440</v>
      </c>
      <c r="AG14" s="156"/>
      <c r="AH14" s="158"/>
      <c r="AI14" s="158"/>
      <c r="AJ14" s="158"/>
      <c r="AK14" s="158"/>
      <c r="AL14" s="158"/>
      <c r="AM14" s="158"/>
      <c r="AN14" s="158"/>
      <c r="AO14" s="158"/>
      <c r="AP14" s="158"/>
      <c r="AQ14" s="158"/>
      <c r="AR14" s="158"/>
      <c r="AS14" s="158"/>
      <c r="AT14" s="158"/>
      <c r="AU14" s="158"/>
    </row>
    <row r="15" spans="3:47" s="1" customFormat="1" x14ac:dyDescent="0.25">
      <c r="C15" s="155">
        <v>11</v>
      </c>
      <c r="D15" s="156" t="s">
        <v>934</v>
      </c>
      <c r="E15" s="156" t="s">
        <v>1037</v>
      </c>
      <c r="F15" s="156" t="s">
        <v>2388</v>
      </c>
      <c r="G15" s="156" t="s">
        <v>551</v>
      </c>
      <c r="H15" s="156" t="s">
        <v>392</v>
      </c>
      <c r="I15" s="157" t="s">
        <v>393</v>
      </c>
      <c r="J15" s="156" t="b">
        <v>1</v>
      </c>
      <c r="K15" s="156" t="b">
        <v>0</v>
      </c>
      <c r="L15" s="156" t="b">
        <v>0</v>
      </c>
      <c r="M15" s="156" t="b">
        <v>0</v>
      </c>
      <c r="N15" s="156"/>
      <c r="O15" s="156" t="s">
        <v>1827</v>
      </c>
      <c r="P15" s="156" t="s">
        <v>2424</v>
      </c>
      <c r="Q15" s="156" t="s">
        <v>394</v>
      </c>
      <c r="R15" s="156" t="s">
        <v>395</v>
      </c>
      <c r="S15" s="157" t="s">
        <v>396</v>
      </c>
      <c r="T15" s="157" t="s">
        <v>397</v>
      </c>
      <c r="U15" s="157" t="s">
        <v>653</v>
      </c>
      <c r="V15" s="157" t="s">
        <v>396</v>
      </c>
      <c r="W15" s="157" t="s">
        <v>397</v>
      </c>
      <c r="X15" s="156" t="b">
        <v>0</v>
      </c>
      <c r="Y15" s="156" t="b">
        <v>0</v>
      </c>
      <c r="Z15" s="156" t="b">
        <v>0</v>
      </c>
      <c r="AA15" s="156" t="b">
        <v>0</v>
      </c>
      <c r="AB15" s="156"/>
      <c r="AC15" s="156">
        <v>19</v>
      </c>
      <c r="AD15" s="156" t="s">
        <v>2342</v>
      </c>
      <c r="AE15" s="156"/>
      <c r="AF15" s="158" t="s">
        <v>284</v>
      </c>
      <c r="AG15" s="156"/>
      <c r="AH15" s="158"/>
      <c r="AI15" s="158"/>
      <c r="AJ15" s="158"/>
      <c r="AK15" s="158"/>
      <c r="AL15" s="158"/>
      <c r="AM15" s="158"/>
      <c r="AN15" s="158"/>
      <c r="AO15" s="158"/>
      <c r="AP15" s="158"/>
      <c r="AQ15" s="158"/>
      <c r="AR15" s="158"/>
      <c r="AS15" s="158"/>
      <c r="AT15" s="158"/>
      <c r="AU15" s="158"/>
    </row>
    <row r="16" spans="3:47" s="1" customFormat="1" x14ac:dyDescent="0.25">
      <c r="C16" s="155">
        <v>12</v>
      </c>
      <c r="D16" s="156"/>
      <c r="E16" s="156"/>
      <c r="F16" s="156"/>
      <c r="G16" s="156"/>
      <c r="H16" s="156"/>
      <c r="I16" s="157" t="s">
        <v>651</v>
      </c>
      <c r="J16" s="156" t="b">
        <v>0</v>
      </c>
      <c r="K16" s="156" t="b">
        <v>0</v>
      </c>
      <c r="L16" s="156" t="b">
        <v>0</v>
      </c>
      <c r="M16" s="156" t="b">
        <v>0</v>
      </c>
      <c r="N16" s="156"/>
      <c r="O16" s="156"/>
      <c r="P16" s="156"/>
      <c r="Q16" s="156"/>
      <c r="R16" s="156"/>
      <c r="S16" s="157" t="s">
        <v>409</v>
      </c>
      <c r="T16" s="157" t="s">
        <v>410</v>
      </c>
      <c r="U16" s="157" t="s">
        <v>651</v>
      </c>
      <c r="V16" s="157" t="s">
        <v>409</v>
      </c>
      <c r="W16" s="157" t="s">
        <v>410</v>
      </c>
      <c r="X16" s="156" t="b">
        <v>0</v>
      </c>
      <c r="Y16" s="156" t="b">
        <v>0</v>
      </c>
      <c r="Z16" s="156" t="b">
        <v>0</v>
      </c>
      <c r="AA16" s="156" t="b">
        <v>0</v>
      </c>
      <c r="AB16" s="156"/>
      <c r="AC16" s="156" t="s">
        <v>651</v>
      </c>
      <c r="AD16" s="156" t="s">
        <v>651</v>
      </c>
      <c r="AE16" s="156" t="s">
        <v>651</v>
      </c>
      <c r="AF16" s="158" t="s">
        <v>651</v>
      </c>
      <c r="AG16" s="156"/>
      <c r="AH16" s="158"/>
      <c r="AI16" s="158"/>
      <c r="AJ16" s="158"/>
      <c r="AK16" s="158"/>
      <c r="AL16" s="158"/>
      <c r="AM16" s="158"/>
      <c r="AN16" s="158"/>
      <c r="AO16" s="158"/>
      <c r="AP16" s="158"/>
      <c r="AQ16" s="158"/>
      <c r="AR16" s="158"/>
      <c r="AS16" s="158"/>
      <c r="AT16" s="158"/>
      <c r="AU16" s="158"/>
    </row>
    <row r="17" spans="3:47" s="1" customFormat="1" x14ac:dyDescent="0.25">
      <c r="C17" s="155">
        <v>13</v>
      </c>
      <c r="D17" s="156" t="s">
        <v>828</v>
      </c>
      <c r="E17" s="156" t="s">
        <v>1307</v>
      </c>
      <c r="F17" s="156" t="s">
        <v>223</v>
      </c>
      <c r="G17" s="156" t="s">
        <v>551</v>
      </c>
      <c r="H17" s="156" t="s">
        <v>224</v>
      </c>
      <c r="I17" s="157" t="s">
        <v>225</v>
      </c>
      <c r="J17" s="156" t="b">
        <v>1</v>
      </c>
      <c r="K17" s="156" t="b">
        <v>0</v>
      </c>
      <c r="L17" s="156" t="b">
        <v>0</v>
      </c>
      <c r="M17" s="156" t="b">
        <v>0</v>
      </c>
      <c r="N17" s="156"/>
      <c r="O17" s="156" t="s">
        <v>226</v>
      </c>
      <c r="P17" s="156" t="s">
        <v>67</v>
      </c>
      <c r="Q17" s="156" t="s">
        <v>547</v>
      </c>
      <c r="R17" s="156" t="s">
        <v>227</v>
      </c>
      <c r="S17" s="157" t="s">
        <v>228</v>
      </c>
      <c r="T17" s="157" t="s">
        <v>229</v>
      </c>
      <c r="U17" s="157" t="s">
        <v>700</v>
      </c>
      <c r="V17" s="157" t="s">
        <v>228</v>
      </c>
      <c r="W17" s="157" t="s">
        <v>229</v>
      </c>
      <c r="X17" s="156" t="b">
        <v>0</v>
      </c>
      <c r="Y17" s="156" t="b">
        <v>0</v>
      </c>
      <c r="Z17" s="156" t="b">
        <v>0</v>
      </c>
      <c r="AA17" s="156" t="b">
        <v>0</v>
      </c>
      <c r="AB17" s="156"/>
      <c r="AC17" s="156" t="s">
        <v>230</v>
      </c>
      <c r="AD17" s="156" t="s">
        <v>2344</v>
      </c>
      <c r="AE17" s="156" t="s">
        <v>231</v>
      </c>
      <c r="AF17" s="158" t="s">
        <v>1766</v>
      </c>
      <c r="AG17" s="156"/>
      <c r="AH17" s="158"/>
      <c r="AI17" s="158"/>
      <c r="AJ17" s="158"/>
      <c r="AK17" s="158"/>
      <c r="AL17" s="158"/>
      <c r="AM17" s="158"/>
      <c r="AN17" s="158"/>
      <c r="AO17" s="158"/>
      <c r="AP17" s="158"/>
      <c r="AQ17" s="158"/>
      <c r="AR17" s="158"/>
      <c r="AS17" s="158"/>
      <c r="AT17" s="158"/>
      <c r="AU17" s="158"/>
    </row>
    <row r="18" spans="3:47" s="1" customFormat="1" x14ac:dyDescent="0.25">
      <c r="C18" s="155">
        <v>14</v>
      </c>
      <c r="D18" s="156" t="s">
        <v>828</v>
      </c>
      <c r="E18" s="156" t="s">
        <v>1307</v>
      </c>
      <c r="F18" s="156" t="s">
        <v>2359</v>
      </c>
      <c r="G18" s="156" t="s">
        <v>551</v>
      </c>
      <c r="H18" s="156" t="s">
        <v>575</v>
      </c>
      <c r="I18" s="157" t="s">
        <v>1138</v>
      </c>
      <c r="J18" s="156" t="b">
        <v>1</v>
      </c>
      <c r="K18" s="156" t="b">
        <v>0</v>
      </c>
      <c r="L18" s="156" t="b">
        <v>0</v>
      </c>
      <c r="M18" s="156" t="b">
        <v>0</v>
      </c>
      <c r="N18" s="156"/>
      <c r="O18" s="156" t="s">
        <v>1139</v>
      </c>
      <c r="P18" s="156" t="s">
        <v>2424</v>
      </c>
      <c r="Q18" s="156"/>
      <c r="R18" s="156" t="s">
        <v>1140</v>
      </c>
      <c r="S18" s="157" t="s">
        <v>1141</v>
      </c>
      <c r="T18" s="157" t="s">
        <v>1142</v>
      </c>
      <c r="U18" s="157" t="s">
        <v>656</v>
      </c>
      <c r="V18" s="157" t="s">
        <v>1141</v>
      </c>
      <c r="W18" s="157" t="s">
        <v>1142</v>
      </c>
      <c r="X18" s="156" t="b">
        <v>0</v>
      </c>
      <c r="Y18" s="156" t="b">
        <v>0</v>
      </c>
      <c r="Z18" s="156" t="b">
        <v>0</v>
      </c>
      <c r="AA18" s="156" t="b">
        <v>0</v>
      </c>
      <c r="AB18" s="156"/>
      <c r="AC18" s="156" t="s">
        <v>1143</v>
      </c>
      <c r="AD18" s="156" t="s">
        <v>2344</v>
      </c>
      <c r="AE18" s="156" t="s">
        <v>1144</v>
      </c>
      <c r="AF18" s="158" t="s">
        <v>1754</v>
      </c>
      <c r="AG18" s="156"/>
      <c r="AH18" s="158"/>
      <c r="AI18" s="158"/>
      <c r="AJ18" s="158"/>
      <c r="AK18" s="158"/>
      <c r="AL18" s="158"/>
      <c r="AM18" s="158"/>
      <c r="AN18" s="158"/>
      <c r="AO18" s="158"/>
      <c r="AP18" s="158"/>
      <c r="AQ18" s="158"/>
      <c r="AR18" s="158"/>
      <c r="AS18" s="158"/>
      <c r="AT18" s="158"/>
      <c r="AU18" s="158"/>
    </row>
    <row r="19" spans="3:47" s="1" customFormat="1" x14ac:dyDescent="0.25">
      <c r="C19" s="155">
        <v>15</v>
      </c>
      <c r="D19" s="156" t="s">
        <v>828</v>
      </c>
      <c r="E19" s="156" t="s">
        <v>1307</v>
      </c>
      <c r="F19" s="156" t="s">
        <v>2359</v>
      </c>
      <c r="G19" s="156" t="s">
        <v>551</v>
      </c>
      <c r="H19" s="156" t="s">
        <v>575</v>
      </c>
      <c r="I19" s="157" t="s">
        <v>1145</v>
      </c>
      <c r="J19" s="156" t="b">
        <v>1</v>
      </c>
      <c r="K19" s="156" t="b">
        <v>0</v>
      </c>
      <c r="L19" s="156" t="b">
        <v>0</v>
      </c>
      <c r="M19" s="156" t="b">
        <v>0</v>
      </c>
      <c r="N19" s="156"/>
      <c r="O19" s="156" t="s">
        <v>1146</v>
      </c>
      <c r="P19" s="156" t="s">
        <v>2424</v>
      </c>
      <c r="Q19" s="156"/>
      <c r="R19" s="156" t="s">
        <v>1140</v>
      </c>
      <c r="S19" s="157" t="s">
        <v>1141</v>
      </c>
      <c r="T19" s="157" t="s">
        <v>1147</v>
      </c>
      <c r="U19" s="157" t="s">
        <v>656</v>
      </c>
      <c r="V19" s="157" t="s">
        <v>1141</v>
      </c>
      <c r="W19" s="157" t="s">
        <v>1147</v>
      </c>
      <c r="X19" s="156" t="b">
        <v>0</v>
      </c>
      <c r="Y19" s="156" t="b">
        <v>0</v>
      </c>
      <c r="Z19" s="156" t="b">
        <v>0</v>
      </c>
      <c r="AA19" s="156" t="b">
        <v>0</v>
      </c>
      <c r="AB19" s="156"/>
      <c r="AC19" s="156" t="s">
        <v>1148</v>
      </c>
      <c r="AD19" s="156" t="s">
        <v>2342</v>
      </c>
      <c r="AE19" s="156" t="s">
        <v>1149</v>
      </c>
      <c r="AF19" s="158" t="s">
        <v>1793</v>
      </c>
      <c r="AG19" s="156"/>
      <c r="AH19" s="158"/>
      <c r="AI19" s="158"/>
      <c r="AJ19" s="158"/>
      <c r="AK19" s="158"/>
      <c r="AL19" s="158"/>
      <c r="AM19" s="158"/>
      <c r="AN19" s="158"/>
      <c r="AO19" s="158"/>
      <c r="AP19" s="158"/>
      <c r="AQ19" s="158"/>
      <c r="AR19" s="158"/>
      <c r="AS19" s="158"/>
      <c r="AT19" s="158"/>
      <c r="AU19" s="158"/>
    </row>
    <row r="20" spans="3:47" s="1" customFormat="1" x14ac:dyDescent="0.25">
      <c r="C20" s="155">
        <v>16</v>
      </c>
      <c r="D20" s="156" t="s">
        <v>828</v>
      </c>
      <c r="E20" s="156" t="s">
        <v>1307</v>
      </c>
      <c r="F20" s="156" t="s">
        <v>2359</v>
      </c>
      <c r="G20" s="156" t="s">
        <v>551</v>
      </c>
      <c r="H20" s="156" t="s">
        <v>575</v>
      </c>
      <c r="I20" s="157" t="s">
        <v>1150</v>
      </c>
      <c r="J20" s="156" t="b">
        <v>1</v>
      </c>
      <c r="K20" s="156" t="b">
        <v>0</v>
      </c>
      <c r="L20" s="156" t="b">
        <v>0</v>
      </c>
      <c r="M20" s="156" t="b">
        <v>0</v>
      </c>
      <c r="N20" s="156"/>
      <c r="O20" s="156"/>
      <c r="P20" s="156" t="s">
        <v>2424</v>
      </c>
      <c r="Q20" s="156"/>
      <c r="R20" s="156" t="s">
        <v>1140</v>
      </c>
      <c r="S20" s="157" t="s">
        <v>1141</v>
      </c>
      <c r="T20" s="157" t="s">
        <v>1151</v>
      </c>
      <c r="U20" s="157" t="s">
        <v>656</v>
      </c>
      <c r="V20" s="157" t="s">
        <v>1141</v>
      </c>
      <c r="W20" s="157" t="s">
        <v>1151</v>
      </c>
      <c r="X20" s="156" t="b">
        <v>0</v>
      </c>
      <c r="Y20" s="156" t="b">
        <v>0</v>
      </c>
      <c r="Z20" s="156" t="b">
        <v>0</v>
      </c>
      <c r="AA20" s="156" t="b">
        <v>0</v>
      </c>
      <c r="AB20" s="156"/>
      <c r="AC20" s="156" t="s">
        <v>1152</v>
      </c>
      <c r="AD20" s="156" t="s">
        <v>2342</v>
      </c>
      <c r="AE20" s="156" t="s">
        <v>1149</v>
      </c>
      <c r="AF20" s="158" t="s">
        <v>1153</v>
      </c>
      <c r="AG20" s="156"/>
      <c r="AH20" s="158"/>
      <c r="AI20" s="158"/>
      <c r="AJ20" s="158"/>
      <c r="AK20" s="158"/>
      <c r="AL20" s="158"/>
      <c r="AM20" s="158"/>
      <c r="AN20" s="158"/>
      <c r="AO20" s="158"/>
      <c r="AP20" s="158"/>
      <c r="AQ20" s="158"/>
      <c r="AR20" s="158"/>
      <c r="AS20" s="158"/>
      <c r="AT20" s="158"/>
      <c r="AU20" s="158"/>
    </row>
    <row r="21" spans="3:47" s="1" customFormat="1" x14ac:dyDescent="0.25">
      <c r="C21" s="155">
        <v>17</v>
      </c>
      <c r="D21" s="156" t="s">
        <v>828</v>
      </c>
      <c r="E21" s="156" t="s">
        <v>1307</v>
      </c>
      <c r="F21" s="156" t="s">
        <v>126</v>
      </c>
      <c r="G21" s="156" t="s">
        <v>551</v>
      </c>
      <c r="H21" s="156"/>
      <c r="I21" s="157" t="s">
        <v>127</v>
      </c>
      <c r="J21" s="156" t="b">
        <v>1</v>
      </c>
      <c r="K21" s="156" t="b">
        <v>0</v>
      </c>
      <c r="L21" s="156" t="b">
        <v>0</v>
      </c>
      <c r="M21" s="156" t="b">
        <v>0</v>
      </c>
      <c r="N21" s="156"/>
      <c r="O21" s="156" t="s">
        <v>128</v>
      </c>
      <c r="P21" s="156" t="s">
        <v>67</v>
      </c>
      <c r="Q21" s="156" t="s">
        <v>547</v>
      </c>
      <c r="R21" s="156" t="s">
        <v>129</v>
      </c>
      <c r="S21" s="157" t="s">
        <v>130</v>
      </c>
      <c r="T21" s="157" t="s">
        <v>131</v>
      </c>
      <c r="U21" s="157" t="s">
        <v>655</v>
      </c>
      <c r="V21" s="157" t="s">
        <v>130</v>
      </c>
      <c r="W21" s="157" t="s">
        <v>131</v>
      </c>
      <c r="X21" s="156" t="b">
        <v>0</v>
      </c>
      <c r="Y21" s="156" t="b">
        <v>0</v>
      </c>
      <c r="Z21" s="156" t="b">
        <v>0</v>
      </c>
      <c r="AA21" s="156" t="b">
        <v>0</v>
      </c>
      <c r="AB21" s="156"/>
      <c r="AC21" s="156" t="s">
        <v>132</v>
      </c>
      <c r="AD21" s="156" t="s">
        <v>2342</v>
      </c>
      <c r="AE21" s="156" t="s">
        <v>133</v>
      </c>
      <c r="AF21" s="158" t="s">
        <v>134</v>
      </c>
      <c r="AG21" s="156"/>
      <c r="AH21" s="158"/>
      <c r="AI21" s="158"/>
      <c r="AJ21" s="158"/>
      <c r="AK21" s="158"/>
      <c r="AL21" s="158"/>
      <c r="AM21" s="158"/>
      <c r="AN21" s="158"/>
      <c r="AO21" s="158"/>
      <c r="AP21" s="158"/>
      <c r="AQ21" s="158"/>
      <c r="AR21" s="158"/>
      <c r="AS21" s="158"/>
      <c r="AT21" s="158"/>
      <c r="AU21" s="158"/>
    </row>
    <row r="22" spans="3:47" s="1" customFormat="1" x14ac:dyDescent="0.25">
      <c r="C22" s="155">
        <v>18</v>
      </c>
      <c r="D22" s="156" t="s">
        <v>828</v>
      </c>
      <c r="E22" s="156" t="s">
        <v>1307</v>
      </c>
      <c r="F22" s="156" t="s">
        <v>1994</v>
      </c>
      <c r="G22" s="156" t="s">
        <v>551</v>
      </c>
      <c r="H22" s="156" t="s">
        <v>224</v>
      </c>
      <c r="I22" s="157" t="s">
        <v>1995</v>
      </c>
      <c r="J22" s="156" t="b">
        <v>1</v>
      </c>
      <c r="K22" s="156" t="b">
        <v>0</v>
      </c>
      <c r="L22" s="156" t="b">
        <v>0</v>
      </c>
      <c r="M22" s="156" t="b">
        <v>0</v>
      </c>
      <c r="N22" s="156"/>
      <c r="O22" s="156" t="s">
        <v>1999</v>
      </c>
      <c r="P22" s="156" t="s">
        <v>67</v>
      </c>
      <c r="Q22" s="156"/>
      <c r="R22" s="156" t="s">
        <v>2000</v>
      </c>
      <c r="S22" s="157" t="s">
        <v>2001</v>
      </c>
      <c r="T22" s="157" t="s">
        <v>2002</v>
      </c>
      <c r="U22" s="157" t="s">
        <v>700</v>
      </c>
      <c r="V22" s="157" t="s">
        <v>2001</v>
      </c>
      <c r="W22" s="157" t="s">
        <v>2003</v>
      </c>
      <c r="X22" s="156" t="b">
        <v>0</v>
      </c>
      <c r="Y22" s="156" t="b">
        <v>0</v>
      </c>
      <c r="Z22" s="156" t="b">
        <v>0</v>
      </c>
      <c r="AA22" s="156" t="b">
        <v>0</v>
      </c>
      <c r="AB22" s="156"/>
      <c r="AC22" s="156" t="s">
        <v>2004</v>
      </c>
      <c r="AD22" s="156" t="s">
        <v>2005</v>
      </c>
      <c r="AE22" s="156" t="s">
        <v>2006</v>
      </c>
      <c r="AF22" s="158" t="s">
        <v>1619</v>
      </c>
      <c r="AG22" s="156"/>
      <c r="AH22" s="158"/>
      <c r="AI22" s="158"/>
      <c r="AJ22" s="158"/>
      <c r="AK22" s="158"/>
      <c r="AL22" s="158"/>
      <c r="AM22" s="158"/>
      <c r="AN22" s="158"/>
      <c r="AO22" s="158"/>
      <c r="AP22" s="158"/>
      <c r="AQ22" s="158"/>
      <c r="AR22" s="158"/>
      <c r="AS22" s="158"/>
      <c r="AT22" s="158"/>
      <c r="AU22" s="158"/>
    </row>
    <row r="23" spans="3:47" s="1" customFormat="1" x14ac:dyDescent="0.25">
      <c r="C23" s="155">
        <v>19</v>
      </c>
      <c r="D23" s="156" t="s">
        <v>840</v>
      </c>
      <c r="E23" s="156" t="s">
        <v>1313</v>
      </c>
      <c r="F23" s="156" t="s">
        <v>2360</v>
      </c>
      <c r="G23" s="156" t="s">
        <v>551</v>
      </c>
      <c r="H23" s="156" t="s">
        <v>990</v>
      </c>
      <c r="I23" s="157" t="s">
        <v>991</v>
      </c>
      <c r="J23" s="156" t="b">
        <v>1</v>
      </c>
      <c r="K23" s="156" t="b">
        <v>0</v>
      </c>
      <c r="L23" s="156" t="b">
        <v>0</v>
      </c>
      <c r="M23" s="156" t="b">
        <v>0</v>
      </c>
      <c r="N23" s="156"/>
      <c r="O23" s="156" t="s">
        <v>576</v>
      </c>
      <c r="P23" s="156" t="s">
        <v>2424</v>
      </c>
      <c r="Q23" s="156"/>
      <c r="R23" s="156" t="s">
        <v>992</v>
      </c>
      <c r="S23" s="157" t="s">
        <v>993</v>
      </c>
      <c r="T23" s="157" t="s">
        <v>994</v>
      </c>
      <c r="U23" s="157" t="s">
        <v>552</v>
      </c>
      <c r="V23" s="157" t="s">
        <v>993</v>
      </c>
      <c r="W23" s="157" t="s">
        <v>994</v>
      </c>
      <c r="X23" s="156" t="b">
        <v>0</v>
      </c>
      <c r="Y23" s="156" t="b">
        <v>0</v>
      </c>
      <c r="Z23" s="156" t="b">
        <v>0</v>
      </c>
      <c r="AA23" s="156" t="b">
        <v>0</v>
      </c>
      <c r="AB23" s="156"/>
      <c r="AC23" s="156" t="s">
        <v>1004</v>
      </c>
      <c r="AD23" s="156" t="s">
        <v>2349</v>
      </c>
      <c r="AE23" s="156" t="s">
        <v>1005</v>
      </c>
      <c r="AF23" s="158" t="s">
        <v>1798</v>
      </c>
      <c r="AG23" s="156"/>
      <c r="AH23" s="158"/>
      <c r="AI23" s="158"/>
      <c r="AJ23" s="158"/>
      <c r="AK23" s="158"/>
      <c r="AL23" s="158"/>
      <c r="AM23" s="158"/>
      <c r="AN23" s="158"/>
      <c r="AO23" s="158"/>
      <c r="AP23" s="158"/>
      <c r="AQ23" s="158"/>
      <c r="AR23" s="158"/>
      <c r="AS23" s="158"/>
      <c r="AT23" s="158"/>
      <c r="AU23" s="158"/>
    </row>
    <row r="24" spans="3:47" s="1" customFormat="1" x14ac:dyDescent="0.25">
      <c r="C24" s="155">
        <v>20</v>
      </c>
      <c r="D24" s="156" t="s">
        <v>828</v>
      </c>
      <c r="E24" s="156" t="s">
        <v>1307</v>
      </c>
      <c r="F24" s="156" t="s">
        <v>2388</v>
      </c>
      <c r="G24" s="156" t="s">
        <v>551</v>
      </c>
      <c r="H24" s="156" t="s">
        <v>2968</v>
      </c>
      <c r="I24" s="157" t="s">
        <v>2969</v>
      </c>
      <c r="J24" s="156" t="b">
        <v>1</v>
      </c>
      <c r="K24" s="156" t="b">
        <v>0</v>
      </c>
      <c r="L24" s="156" t="b">
        <v>0</v>
      </c>
      <c r="M24" s="156" t="b">
        <v>0</v>
      </c>
      <c r="N24" s="156"/>
      <c r="O24" s="156" t="s">
        <v>576</v>
      </c>
      <c r="P24" s="156" t="s">
        <v>67</v>
      </c>
      <c r="Q24" s="156"/>
      <c r="R24" s="156" t="s">
        <v>2970</v>
      </c>
      <c r="S24" s="157" t="s">
        <v>2971</v>
      </c>
      <c r="T24" s="157" t="s">
        <v>2972</v>
      </c>
      <c r="U24" s="157" t="s">
        <v>700</v>
      </c>
      <c r="V24" s="157" t="s">
        <v>2971</v>
      </c>
      <c r="W24" s="157" t="s">
        <v>2972</v>
      </c>
      <c r="X24" s="156" t="b">
        <v>0</v>
      </c>
      <c r="Y24" s="156" t="b">
        <v>0</v>
      </c>
      <c r="Z24" s="156" t="b">
        <v>0</v>
      </c>
      <c r="AA24" s="156" t="b">
        <v>0</v>
      </c>
      <c r="AB24" s="156"/>
      <c r="AC24" s="156" t="s">
        <v>2973</v>
      </c>
      <c r="AD24" s="156" t="s">
        <v>2350</v>
      </c>
      <c r="AE24" s="156" t="s">
        <v>2974</v>
      </c>
      <c r="AF24" s="158" t="s">
        <v>1798</v>
      </c>
      <c r="AG24" s="156"/>
      <c r="AH24" s="158"/>
      <c r="AI24" s="158"/>
      <c r="AJ24" s="158"/>
      <c r="AK24" s="158"/>
      <c r="AL24" s="158"/>
      <c r="AM24" s="158"/>
      <c r="AN24" s="158"/>
      <c r="AO24" s="158"/>
      <c r="AP24" s="158"/>
      <c r="AQ24" s="158"/>
      <c r="AR24" s="158"/>
      <c r="AS24" s="158"/>
      <c r="AT24" s="158"/>
      <c r="AU24" s="158"/>
    </row>
    <row r="25" spans="3:47" s="1" customFormat="1" x14ac:dyDescent="0.25">
      <c r="C25" s="155">
        <v>21</v>
      </c>
      <c r="D25" s="156" t="s">
        <v>828</v>
      </c>
      <c r="E25" s="156" t="s">
        <v>1307</v>
      </c>
      <c r="F25" s="156" t="s">
        <v>126</v>
      </c>
      <c r="G25" s="156" t="s">
        <v>551</v>
      </c>
      <c r="H25" s="156" t="s">
        <v>575</v>
      </c>
      <c r="I25" s="157" t="s">
        <v>1826</v>
      </c>
      <c r="J25" s="156" t="b">
        <v>1</v>
      </c>
      <c r="K25" s="156" t="b">
        <v>0</v>
      </c>
      <c r="L25" s="156" t="b">
        <v>0</v>
      </c>
      <c r="M25" s="156" t="b">
        <v>0</v>
      </c>
      <c r="N25" s="156"/>
      <c r="O25" s="156" t="s">
        <v>1827</v>
      </c>
      <c r="P25" s="156" t="s">
        <v>2424</v>
      </c>
      <c r="Q25" s="156"/>
      <c r="R25" s="156" t="s">
        <v>1856</v>
      </c>
      <c r="S25" s="157" t="s">
        <v>1828</v>
      </c>
      <c r="T25" s="157" t="s">
        <v>1829</v>
      </c>
      <c r="U25" s="157" t="s">
        <v>654</v>
      </c>
      <c r="V25" s="157" t="s">
        <v>1828</v>
      </c>
      <c r="W25" s="157" t="s">
        <v>1829</v>
      </c>
      <c r="X25" s="156" t="b">
        <v>0</v>
      </c>
      <c r="Y25" s="156" t="b">
        <v>0</v>
      </c>
      <c r="Z25" s="156" t="b">
        <v>0</v>
      </c>
      <c r="AA25" s="156" t="b">
        <v>0</v>
      </c>
      <c r="AB25" s="156"/>
      <c r="AC25" s="156" t="s">
        <v>1830</v>
      </c>
      <c r="AD25" s="156" t="s">
        <v>2342</v>
      </c>
      <c r="AE25" s="156" t="s">
        <v>1831</v>
      </c>
      <c r="AF25" s="158" t="s">
        <v>284</v>
      </c>
      <c r="AG25" s="156"/>
      <c r="AH25" s="158"/>
      <c r="AI25" s="158"/>
      <c r="AJ25" s="158"/>
      <c r="AK25" s="158"/>
      <c r="AL25" s="158"/>
      <c r="AM25" s="158"/>
      <c r="AN25" s="158"/>
      <c r="AO25" s="158"/>
      <c r="AP25" s="158"/>
      <c r="AQ25" s="158"/>
      <c r="AR25" s="158"/>
      <c r="AS25" s="158"/>
      <c r="AT25" s="158"/>
      <c r="AU25" s="158"/>
    </row>
    <row r="26" spans="3:47" s="1" customFormat="1" x14ac:dyDescent="0.25">
      <c r="C26" s="155">
        <v>22</v>
      </c>
      <c r="D26" s="156" t="s">
        <v>828</v>
      </c>
      <c r="E26" s="156" t="s">
        <v>1307</v>
      </c>
      <c r="F26" s="156" t="s">
        <v>2359</v>
      </c>
      <c r="G26" s="156" t="s">
        <v>551</v>
      </c>
      <c r="H26" s="156" t="s">
        <v>2968</v>
      </c>
      <c r="I26" s="157" t="s">
        <v>785</v>
      </c>
      <c r="J26" s="156" t="b">
        <v>1</v>
      </c>
      <c r="K26" s="156" t="b">
        <v>0</v>
      </c>
      <c r="L26" s="156" t="b">
        <v>0</v>
      </c>
      <c r="M26" s="156" t="b">
        <v>1</v>
      </c>
      <c r="N26" s="156" t="s">
        <v>786</v>
      </c>
      <c r="O26" s="156" t="s">
        <v>787</v>
      </c>
      <c r="P26" s="156" t="s">
        <v>67</v>
      </c>
      <c r="Q26" s="156" t="s">
        <v>547</v>
      </c>
      <c r="R26" s="156" t="s">
        <v>788</v>
      </c>
      <c r="S26" s="157" t="s">
        <v>789</v>
      </c>
      <c r="T26" s="157" t="s">
        <v>790</v>
      </c>
      <c r="U26" s="157" t="s">
        <v>654</v>
      </c>
      <c r="V26" s="157" t="s">
        <v>789</v>
      </c>
      <c r="W26" s="157" t="s">
        <v>790</v>
      </c>
      <c r="X26" s="156" t="b">
        <v>0</v>
      </c>
      <c r="Y26" s="156" t="b">
        <v>0</v>
      </c>
      <c r="Z26" s="156" t="b">
        <v>0</v>
      </c>
      <c r="AA26" s="156" t="b">
        <v>0</v>
      </c>
      <c r="AB26" s="156"/>
      <c r="AC26" s="156" t="s">
        <v>791</v>
      </c>
      <c r="AD26" s="156" t="s">
        <v>2345</v>
      </c>
      <c r="AE26" s="156" t="s">
        <v>792</v>
      </c>
      <c r="AF26" s="158" t="s">
        <v>793</v>
      </c>
      <c r="AG26" s="156"/>
      <c r="AH26" s="158"/>
      <c r="AI26" s="158"/>
      <c r="AJ26" s="158"/>
      <c r="AK26" s="158"/>
      <c r="AL26" s="158"/>
      <c r="AM26" s="158"/>
      <c r="AN26" s="158"/>
      <c r="AO26" s="158"/>
      <c r="AP26" s="158"/>
      <c r="AQ26" s="158"/>
      <c r="AR26" s="158"/>
      <c r="AS26" s="158"/>
      <c r="AT26" s="158"/>
      <c r="AU26" s="158"/>
    </row>
    <row r="27" spans="3:47" s="1" customFormat="1" x14ac:dyDescent="0.25">
      <c r="C27" s="155">
        <v>23</v>
      </c>
      <c r="D27" s="156" t="s">
        <v>828</v>
      </c>
      <c r="E27" s="156" t="s">
        <v>1307</v>
      </c>
      <c r="F27" s="156"/>
      <c r="G27" s="156" t="s">
        <v>551</v>
      </c>
      <c r="H27" s="156" t="s">
        <v>2721</v>
      </c>
      <c r="I27" s="157" t="s">
        <v>2722</v>
      </c>
      <c r="J27" s="156" t="b">
        <v>1</v>
      </c>
      <c r="K27" s="156" t="b">
        <v>0</v>
      </c>
      <c r="L27" s="156" t="b">
        <v>0</v>
      </c>
      <c r="M27" s="156" t="b">
        <v>0</v>
      </c>
      <c r="N27" s="156"/>
      <c r="O27" s="156" t="s">
        <v>2731</v>
      </c>
      <c r="P27" s="156"/>
      <c r="Q27" s="156"/>
      <c r="R27" s="156" t="s">
        <v>2732</v>
      </c>
      <c r="S27" s="157" t="s">
        <v>2733</v>
      </c>
      <c r="T27" s="157" t="s">
        <v>2734</v>
      </c>
      <c r="U27" s="157" t="s">
        <v>654</v>
      </c>
      <c r="V27" s="157" t="s">
        <v>2733</v>
      </c>
      <c r="W27" s="157" t="s">
        <v>2734</v>
      </c>
      <c r="X27" s="156" t="b">
        <v>0</v>
      </c>
      <c r="Y27" s="156" t="b">
        <v>0</v>
      </c>
      <c r="Z27" s="156" t="b">
        <v>0</v>
      </c>
      <c r="AA27" s="156" t="b">
        <v>0</v>
      </c>
      <c r="AB27" s="156"/>
      <c r="AC27" s="156" t="s">
        <v>2735</v>
      </c>
      <c r="AD27" s="156" t="s">
        <v>651</v>
      </c>
      <c r="AE27" s="156" t="s">
        <v>2736</v>
      </c>
      <c r="AF27" s="158" t="s">
        <v>1718</v>
      </c>
      <c r="AG27" s="156"/>
      <c r="AH27" s="158"/>
      <c r="AI27" s="158"/>
      <c r="AJ27" s="158"/>
      <c r="AK27" s="158"/>
      <c r="AL27" s="158"/>
      <c r="AM27" s="158"/>
      <c r="AN27" s="158"/>
      <c r="AO27" s="158"/>
      <c r="AP27" s="158"/>
      <c r="AQ27" s="158"/>
      <c r="AR27" s="158"/>
      <c r="AS27" s="158"/>
      <c r="AT27" s="158"/>
      <c r="AU27" s="158"/>
    </row>
    <row r="28" spans="3:47" s="1" customFormat="1" x14ac:dyDescent="0.25">
      <c r="C28" s="155">
        <v>24</v>
      </c>
      <c r="D28" s="156" t="s">
        <v>828</v>
      </c>
      <c r="E28" s="156" t="s">
        <v>1307</v>
      </c>
      <c r="F28" s="156" t="s">
        <v>1597</v>
      </c>
      <c r="G28" s="156" t="s">
        <v>551</v>
      </c>
      <c r="H28" s="156" t="s">
        <v>1598</v>
      </c>
      <c r="I28" s="157" t="s">
        <v>1599</v>
      </c>
      <c r="J28" s="156" t="b">
        <v>1</v>
      </c>
      <c r="K28" s="156" t="b">
        <v>0</v>
      </c>
      <c r="L28" s="156" t="b">
        <v>0</v>
      </c>
      <c r="M28" s="156" t="b">
        <v>0</v>
      </c>
      <c r="N28" s="156"/>
      <c r="O28" s="156"/>
      <c r="P28" s="156"/>
      <c r="Q28" s="156"/>
      <c r="R28" s="156" t="s">
        <v>1600</v>
      </c>
      <c r="S28" s="157" t="s">
        <v>1601</v>
      </c>
      <c r="T28" s="157" t="s">
        <v>1602</v>
      </c>
      <c r="U28" s="157" t="s">
        <v>654</v>
      </c>
      <c r="V28" s="157" t="s">
        <v>1601</v>
      </c>
      <c r="W28" s="157" t="s">
        <v>1602</v>
      </c>
      <c r="X28" s="156" t="b">
        <v>0</v>
      </c>
      <c r="Y28" s="156" t="b">
        <v>0</v>
      </c>
      <c r="Z28" s="156" t="b">
        <v>0</v>
      </c>
      <c r="AA28" s="156" t="b">
        <v>0</v>
      </c>
      <c r="AB28" s="156"/>
      <c r="AC28" s="156" t="s">
        <v>1603</v>
      </c>
      <c r="AD28" s="156" t="s">
        <v>2345</v>
      </c>
      <c r="AE28" s="156" t="s">
        <v>1604</v>
      </c>
      <c r="AF28" s="158" t="s">
        <v>1605</v>
      </c>
      <c r="AG28" s="156"/>
      <c r="AH28" s="158"/>
      <c r="AI28" s="158"/>
      <c r="AJ28" s="158"/>
      <c r="AK28" s="158"/>
      <c r="AL28" s="158"/>
      <c r="AM28" s="158"/>
      <c r="AN28" s="158"/>
      <c r="AO28" s="158"/>
      <c r="AP28" s="158"/>
      <c r="AQ28" s="158"/>
      <c r="AR28" s="158"/>
      <c r="AS28" s="158"/>
      <c r="AT28" s="158"/>
      <c r="AU28" s="158"/>
    </row>
    <row r="29" spans="3:47" s="1" customFormat="1" x14ac:dyDescent="0.25">
      <c r="C29" s="155">
        <v>25</v>
      </c>
      <c r="D29" s="156" t="s">
        <v>802</v>
      </c>
      <c r="E29" s="156" t="s">
        <v>1332</v>
      </c>
      <c r="F29" s="156" t="s">
        <v>563</v>
      </c>
      <c r="G29" s="156" t="s">
        <v>551</v>
      </c>
      <c r="H29" s="156" t="s">
        <v>564</v>
      </c>
      <c r="I29" s="157" t="s">
        <v>565</v>
      </c>
      <c r="J29" s="156" t="b">
        <v>1</v>
      </c>
      <c r="K29" s="156" t="b">
        <v>0</v>
      </c>
      <c r="L29" s="156" t="b">
        <v>0</v>
      </c>
      <c r="M29" s="156" t="b">
        <v>0</v>
      </c>
      <c r="N29" s="156"/>
      <c r="O29" s="156" t="s">
        <v>566</v>
      </c>
      <c r="P29" s="156" t="s">
        <v>67</v>
      </c>
      <c r="Q29" s="156"/>
      <c r="R29" s="156" t="s">
        <v>567</v>
      </c>
      <c r="S29" s="157" t="s">
        <v>568</v>
      </c>
      <c r="T29" s="157" t="s">
        <v>569</v>
      </c>
      <c r="U29" s="157" t="s">
        <v>700</v>
      </c>
      <c r="V29" s="157" t="s">
        <v>568</v>
      </c>
      <c r="W29" s="157" t="s">
        <v>569</v>
      </c>
      <c r="X29" s="156" t="b">
        <v>0</v>
      </c>
      <c r="Y29" s="156" t="b">
        <v>0</v>
      </c>
      <c r="Z29" s="156" t="b">
        <v>0</v>
      </c>
      <c r="AA29" s="156" t="b">
        <v>0</v>
      </c>
      <c r="AB29" s="156"/>
      <c r="AC29" s="156" t="s">
        <v>570</v>
      </c>
      <c r="AD29" s="156" t="s">
        <v>2345</v>
      </c>
      <c r="AE29" s="156" t="s">
        <v>571</v>
      </c>
      <c r="AF29" s="158" t="s">
        <v>572</v>
      </c>
      <c r="AG29" s="156"/>
      <c r="AH29" s="158"/>
      <c r="AI29" s="158"/>
      <c r="AJ29" s="158"/>
      <c r="AK29" s="158"/>
      <c r="AL29" s="158"/>
      <c r="AM29" s="158"/>
      <c r="AN29" s="158"/>
      <c r="AO29" s="158"/>
      <c r="AP29" s="158"/>
      <c r="AQ29" s="158"/>
      <c r="AR29" s="158"/>
      <c r="AS29" s="158"/>
      <c r="AT29" s="158"/>
      <c r="AU29" s="158"/>
    </row>
    <row r="30" spans="3:47" s="1" customFormat="1" x14ac:dyDescent="0.25">
      <c r="C30" s="155">
        <v>26</v>
      </c>
      <c r="D30" s="156" t="s">
        <v>828</v>
      </c>
      <c r="E30" s="156" t="s">
        <v>1307</v>
      </c>
      <c r="F30" s="156" t="s">
        <v>90</v>
      </c>
      <c r="G30" s="156" t="s">
        <v>551</v>
      </c>
      <c r="H30" s="156" t="s">
        <v>2434</v>
      </c>
      <c r="I30" s="157" t="s">
        <v>2435</v>
      </c>
      <c r="J30" s="156" t="b">
        <v>1</v>
      </c>
      <c r="K30" s="156" t="b">
        <v>0</v>
      </c>
      <c r="L30" s="156" t="b">
        <v>0</v>
      </c>
      <c r="M30" s="156" t="b">
        <v>0</v>
      </c>
      <c r="N30" s="156"/>
      <c r="O30" s="156" t="s">
        <v>2436</v>
      </c>
      <c r="P30" s="156" t="s">
        <v>2424</v>
      </c>
      <c r="Q30" s="156"/>
      <c r="R30" s="156" t="s">
        <v>2437</v>
      </c>
      <c r="S30" s="157" t="s">
        <v>2451</v>
      </c>
      <c r="T30" s="157" t="s">
        <v>2452</v>
      </c>
      <c r="U30" s="157" t="s">
        <v>700</v>
      </c>
      <c r="V30" s="157" t="s">
        <v>2451</v>
      </c>
      <c r="W30" s="157" t="s">
        <v>2452</v>
      </c>
      <c r="X30" s="156" t="b">
        <v>0</v>
      </c>
      <c r="Y30" s="156" t="b">
        <v>0</v>
      </c>
      <c r="Z30" s="156" t="b">
        <v>0</v>
      </c>
      <c r="AA30" s="156" t="b">
        <v>0</v>
      </c>
      <c r="AB30" s="156"/>
      <c r="AC30" s="156" t="s">
        <v>2453</v>
      </c>
      <c r="AD30" s="156" t="s">
        <v>2454</v>
      </c>
      <c r="AE30" s="156" t="s">
        <v>2455</v>
      </c>
      <c r="AF30" s="158" t="s">
        <v>2456</v>
      </c>
      <c r="AG30" s="156"/>
      <c r="AH30" s="158"/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58"/>
      <c r="AT30" s="158"/>
      <c r="AU30" s="158"/>
    </row>
    <row r="31" spans="3:47" s="1" customFormat="1" x14ac:dyDescent="0.25">
      <c r="C31" s="155">
        <v>27</v>
      </c>
      <c r="D31" s="156" t="s">
        <v>828</v>
      </c>
      <c r="E31" s="156" t="s">
        <v>1307</v>
      </c>
      <c r="F31" s="156" t="s">
        <v>537</v>
      </c>
      <c r="G31" s="156" t="s">
        <v>551</v>
      </c>
      <c r="H31" s="156" t="s">
        <v>2434</v>
      </c>
      <c r="I31" s="157" t="s">
        <v>2457</v>
      </c>
      <c r="J31" s="156" t="b">
        <v>1</v>
      </c>
      <c r="K31" s="156" t="b">
        <v>0</v>
      </c>
      <c r="L31" s="156" t="b">
        <v>0</v>
      </c>
      <c r="M31" s="156" t="b">
        <v>0</v>
      </c>
      <c r="N31" s="156"/>
      <c r="O31" s="156" t="s">
        <v>2458</v>
      </c>
      <c r="P31" s="156" t="s">
        <v>2424</v>
      </c>
      <c r="Q31" s="156"/>
      <c r="R31" s="156" t="s">
        <v>2437</v>
      </c>
      <c r="S31" s="157" t="s">
        <v>2451</v>
      </c>
      <c r="T31" s="157" t="s">
        <v>2459</v>
      </c>
      <c r="U31" s="157" t="s">
        <v>700</v>
      </c>
      <c r="V31" s="157" t="s">
        <v>2451</v>
      </c>
      <c r="W31" s="157" t="s">
        <v>2459</v>
      </c>
      <c r="X31" s="156" t="b">
        <v>0</v>
      </c>
      <c r="Y31" s="156" t="b">
        <v>0</v>
      </c>
      <c r="Z31" s="156" t="b">
        <v>0</v>
      </c>
      <c r="AA31" s="156" t="b">
        <v>0</v>
      </c>
      <c r="AB31" s="156"/>
      <c r="AC31" s="156" t="s">
        <v>2460</v>
      </c>
      <c r="AD31" s="156" t="s">
        <v>2344</v>
      </c>
      <c r="AE31" s="156" t="s">
        <v>2461</v>
      </c>
      <c r="AF31" s="158" t="s">
        <v>2462</v>
      </c>
      <c r="AG31" s="156"/>
      <c r="AH31" s="158"/>
      <c r="AI31" s="158"/>
      <c r="AJ31" s="158"/>
      <c r="AK31" s="158"/>
      <c r="AL31" s="158"/>
      <c r="AM31" s="158"/>
      <c r="AN31" s="158"/>
      <c r="AO31" s="158"/>
      <c r="AP31" s="158"/>
      <c r="AQ31" s="158"/>
      <c r="AR31" s="158"/>
      <c r="AS31" s="158"/>
      <c r="AT31" s="158"/>
      <c r="AU31" s="158"/>
    </row>
    <row r="32" spans="3:47" s="1" customFormat="1" x14ac:dyDescent="0.25">
      <c r="C32" s="155">
        <v>28</v>
      </c>
      <c r="D32" s="156" t="s">
        <v>828</v>
      </c>
      <c r="E32" s="156" t="s">
        <v>1307</v>
      </c>
      <c r="F32" s="156" t="s">
        <v>2375</v>
      </c>
      <c r="G32" s="156" t="s">
        <v>551</v>
      </c>
      <c r="H32" s="156" t="s">
        <v>1318</v>
      </c>
      <c r="I32" s="157" t="s">
        <v>1319</v>
      </c>
      <c r="J32" s="156" t="b">
        <v>1</v>
      </c>
      <c r="K32" s="156" t="b">
        <v>0</v>
      </c>
      <c r="L32" s="156" t="b">
        <v>0</v>
      </c>
      <c r="M32" s="156" t="b">
        <v>0</v>
      </c>
      <c r="N32" s="156"/>
      <c r="O32" s="156" t="s">
        <v>1320</v>
      </c>
      <c r="P32" s="156" t="s">
        <v>2424</v>
      </c>
      <c r="Q32" s="156"/>
      <c r="R32" s="156" t="s">
        <v>1321</v>
      </c>
      <c r="S32" s="157" t="s">
        <v>1322</v>
      </c>
      <c r="T32" s="157" t="s">
        <v>1323</v>
      </c>
      <c r="U32" s="157" t="s">
        <v>700</v>
      </c>
      <c r="V32" s="157" t="s">
        <v>1322</v>
      </c>
      <c r="W32" s="157" t="s">
        <v>1323</v>
      </c>
      <c r="X32" s="156" t="b">
        <v>0</v>
      </c>
      <c r="Y32" s="156" t="b">
        <v>0</v>
      </c>
      <c r="Z32" s="156" t="b">
        <v>0</v>
      </c>
      <c r="AA32" s="156" t="b">
        <v>0</v>
      </c>
      <c r="AB32" s="156"/>
      <c r="AC32" s="156" t="s">
        <v>1324</v>
      </c>
      <c r="AD32" s="156" t="s">
        <v>2454</v>
      </c>
      <c r="AE32" s="156" t="s">
        <v>1325</v>
      </c>
      <c r="AF32" s="158" t="s">
        <v>1326</v>
      </c>
      <c r="AG32" s="156"/>
      <c r="AH32" s="158"/>
      <c r="AI32" s="158"/>
      <c r="AJ32" s="158"/>
      <c r="AK32" s="158"/>
      <c r="AL32" s="158"/>
      <c r="AM32" s="158"/>
      <c r="AN32" s="158"/>
      <c r="AO32" s="158"/>
      <c r="AP32" s="158"/>
      <c r="AQ32" s="158"/>
      <c r="AR32" s="158"/>
      <c r="AS32" s="158"/>
      <c r="AT32" s="158"/>
      <c r="AU32" s="158"/>
    </row>
    <row r="33" spans="3:47" s="1" customFormat="1" x14ac:dyDescent="0.25">
      <c r="C33" s="155">
        <v>29</v>
      </c>
      <c r="D33" s="156" t="s">
        <v>828</v>
      </c>
      <c r="E33" s="156" t="s">
        <v>1307</v>
      </c>
      <c r="F33" s="156" t="s">
        <v>1327</v>
      </c>
      <c r="G33" s="156" t="s">
        <v>551</v>
      </c>
      <c r="H33" s="156" t="s">
        <v>1318</v>
      </c>
      <c r="I33" s="157" t="s">
        <v>2558</v>
      </c>
      <c r="J33" s="156" t="b">
        <v>1</v>
      </c>
      <c r="K33" s="156" t="b">
        <v>0</v>
      </c>
      <c r="L33" s="156" t="b">
        <v>0</v>
      </c>
      <c r="M33" s="156" t="b">
        <v>0</v>
      </c>
      <c r="N33" s="156"/>
      <c r="O33" s="156" t="s">
        <v>1328</v>
      </c>
      <c r="P33" s="156" t="s">
        <v>2424</v>
      </c>
      <c r="Q33" s="156"/>
      <c r="R33" s="156" t="s">
        <v>1321</v>
      </c>
      <c r="S33" s="157" t="s">
        <v>1322</v>
      </c>
      <c r="T33" s="157" t="s">
        <v>2559</v>
      </c>
      <c r="U33" s="157" t="s">
        <v>700</v>
      </c>
      <c r="V33" s="157" t="s">
        <v>1322</v>
      </c>
      <c r="W33" s="157" t="s">
        <v>2559</v>
      </c>
      <c r="X33" s="156" t="b">
        <v>0</v>
      </c>
      <c r="Y33" s="156" t="b">
        <v>0</v>
      </c>
      <c r="Z33" s="156" t="b">
        <v>0</v>
      </c>
      <c r="AA33" s="156" t="b">
        <v>0</v>
      </c>
      <c r="AB33" s="156"/>
      <c r="AC33" s="156" t="s">
        <v>1329</v>
      </c>
      <c r="AD33" s="156" t="s">
        <v>2342</v>
      </c>
      <c r="AE33" s="156" t="s">
        <v>1330</v>
      </c>
      <c r="AF33" s="158" t="s">
        <v>1320</v>
      </c>
      <c r="AG33" s="156"/>
      <c r="AH33" s="158"/>
      <c r="AI33" s="158"/>
      <c r="AJ33" s="158"/>
      <c r="AK33" s="158"/>
      <c r="AL33" s="158"/>
      <c r="AM33" s="158"/>
      <c r="AN33" s="158"/>
      <c r="AO33" s="158"/>
      <c r="AP33" s="158"/>
      <c r="AQ33" s="158"/>
      <c r="AR33" s="158"/>
      <c r="AS33" s="158"/>
      <c r="AT33" s="158"/>
      <c r="AU33" s="158"/>
    </row>
    <row r="34" spans="3:47" s="1" customFormat="1" x14ac:dyDescent="0.25">
      <c r="C34" s="155">
        <v>30</v>
      </c>
      <c r="D34" s="156"/>
      <c r="E34" s="156"/>
      <c r="F34" s="156"/>
      <c r="G34" s="156"/>
      <c r="H34" s="156"/>
      <c r="I34" s="157" t="s">
        <v>651</v>
      </c>
      <c r="J34" s="156" t="b">
        <v>0</v>
      </c>
      <c r="K34" s="156" t="b">
        <v>0</v>
      </c>
      <c r="L34" s="156" t="b">
        <v>0</v>
      </c>
      <c r="M34" s="156" t="b">
        <v>0</v>
      </c>
      <c r="N34" s="156"/>
      <c r="O34" s="156"/>
      <c r="P34" s="156"/>
      <c r="Q34" s="156"/>
      <c r="R34" s="156"/>
      <c r="S34" s="157" t="s">
        <v>251</v>
      </c>
      <c r="T34" s="157" t="s">
        <v>252</v>
      </c>
      <c r="U34" s="157" t="s">
        <v>651</v>
      </c>
      <c r="V34" s="157" t="s">
        <v>251</v>
      </c>
      <c r="W34" s="157" t="s">
        <v>252</v>
      </c>
      <c r="X34" s="156" t="b">
        <v>0</v>
      </c>
      <c r="Y34" s="156" t="b">
        <v>0</v>
      </c>
      <c r="Z34" s="156" t="b">
        <v>0</v>
      </c>
      <c r="AA34" s="156" t="b">
        <v>0</v>
      </c>
      <c r="AB34" s="156"/>
      <c r="AC34" s="156" t="s">
        <v>651</v>
      </c>
      <c r="AD34" s="156" t="s">
        <v>651</v>
      </c>
      <c r="AE34" s="156" t="s">
        <v>651</v>
      </c>
      <c r="AF34" s="158" t="s">
        <v>651</v>
      </c>
      <c r="AG34" s="156"/>
      <c r="AH34" s="158"/>
      <c r="AI34" s="158"/>
      <c r="AJ34" s="158"/>
      <c r="AK34" s="158"/>
      <c r="AL34" s="158"/>
      <c r="AM34" s="158"/>
      <c r="AN34" s="158"/>
      <c r="AO34" s="158"/>
      <c r="AP34" s="158"/>
      <c r="AQ34" s="158"/>
      <c r="AR34" s="158"/>
      <c r="AS34" s="158"/>
      <c r="AT34" s="158"/>
      <c r="AU34" s="158"/>
    </row>
    <row r="35" spans="3:47" s="1" customFormat="1" x14ac:dyDescent="0.25">
      <c r="C35" s="155">
        <v>31</v>
      </c>
      <c r="D35" s="156"/>
      <c r="E35" s="156"/>
      <c r="F35" s="156"/>
      <c r="G35" s="156"/>
      <c r="H35" s="156"/>
      <c r="I35" s="157" t="s">
        <v>651</v>
      </c>
      <c r="J35" s="156" t="b">
        <v>0</v>
      </c>
      <c r="K35" s="156" t="b">
        <v>0</v>
      </c>
      <c r="L35" s="156" t="b">
        <v>0</v>
      </c>
      <c r="M35" s="156" t="b">
        <v>0</v>
      </c>
      <c r="N35" s="156"/>
      <c r="O35" s="156"/>
      <c r="P35" s="156"/>
      <c r="Q35" s="156"/>
      <c r="R35" s="156"/>
      <c r="S35" s="157" t="s">
        <v>251</v>
      </c>
      <c r="T35" s="157" t="s">
        <v>2062</v>
      </c>
      <c r="U35" s="157" t="s">
        <v>651</v>
      </c>
      <c r="V35" s="157" t="s">
        <v>251</v>
      </c>
      <c r="W35" s="157" t="s">
        <v>2062</v>
      </c>
      <c r="X35" s="156" t="b">
        <v>0</v>
      </c>
      <c r="Y35" s="156" t="b">
        <v>0</v>
      </c>
      <c r="Z35" s="156" t="b">
        <v>0</v>
      </c>
      <c r="AA35" s="156" t="b">
        <v>0</v>
      </c>
      <c r="AB35" s="156"/>
      <c r="AC35" s="156" t="s">
        <v>651</v>
      </c>
      <c r="AD35" s="156" t="s">
        <v>651</v>
      </c>
      <c r="AE35" s="156" t="s">
        <v>651</v>
      </c>
      <c r="AF35" s="158" t="s">
        <v>651</v>
      </c>
      <c r="AG35" s="156"/>
      <c r="AH35" s="158"/>
      <c r="AI35" s="158"/>
      <c r="AJ35" s="158"/>
      <c r="AK35" s="158"/>
      <c r="AL35" s="158"/>
      <c r="AM35" s="158"/>
      <c r="AN35" s="158"/>
      <c r="AO35" s="158"/>
      <c r="AP35" s="158"/>
      <c r="AQ35" s="158"/>
      <c r="AR35" s="158"/>
      <c r="AS35" s="158"/>
      <c r="AT35" s="158"/>
      <c r="AU35" s="158"/>
    </row>
    <row r="36" spans="3:47" s="1" customFormat="1" x14ac:dyDescent="0.25">
      <c r="C36" s="155">
        <v>32</v>
      </c>
      <c r="D36" s="156" t="s">
        <v>995</v>
      </c>
      <c r="E36" s="156" t="s">
        <v>996</v>
      </c>
      <c r="F36" s="156" t="s">
        <v>2375</v>
      </c>
      <c r="G36" s="156" t="s">
        <v>551</v>
      </c>
      <c r="H36" s="156" t="s">
        <v>997</v>
      </c>
      <c r="I36" s="157" t="s">
        <v>998</v>
      </c>
      <c r="J36" s="156" t="b">
        <v>1</v>
      </c>
      <c r="K36" s="156" t="b">
        <v>0</v>
      </c>
      <c r="L36" s="156" t="b">
        <v>0</v>
      </c>
      <c r="M36" s="156" t="b">
        <v>0</v>
      </c>
      <c r="N36" s="156"/>
      <c r="O36" s="156" t="s">
        <v>1146</v>
      </c>
      <c r="P36" s="156" t="s">
        <v>2424</v>
      </c>
      <c r="Q36" s="156" t="s">
        <v>547</v>
      </c>
      <c r="R36" s="156" t="s">
        <v>999</v>
      </c>
      <c r="S36" s="157" t="s">
        <v>1000</v>
      </c>
      <c r="T36" s="157" t="s">
        <v>1001</v>
      </c>
      <c r="U36" s="157" t="s">
        <v>653</v>
      </c>
      <c r="V36" s="157" t="s">
        <v>1000</v>
      </c>
      <c r="W36" s="157" t="s">
        <v>1001</v>
      </c>
      <c r="X36" s="156" t="b">
        <v>0</v>
      </c>
      <c r="Y36" s="156" t="b">
        <v>0</v>
      </c>
      <c r="Z36" s="156" t="b">
        <v>0</v>
      </c>
      <c r="AA36" s="156" t="b">
        <v>0</v>
      </c>
      <c r="AB36" s="156"/>
      <c r="AC36" s="156" t="s">
        <v>1002</v>
      </c>
      <c r="AD36" s="156" t="s">
        <v>2348</v>
      </c>
      <c r="AE36" s="156" t="s">
        <v>1003</v>
      </c>
      <c r="AF36" s="158" t="s">
        <v>1793</v>
      </c>
      <c r="AG36" s="156"/>
      <c r="AH36" s="158"/>
      <c r="AI36" s="158"/>
      <c r="AJ36" s="158"/>
      <c r="AK36" s="158"/>
      <c r="AL36" s="158"/>
      <c r="AM36" s="158"/>
      <c r="AN36" s="158"/>
      <c r="AO36" s="158"/>
      <c r="AP36" s="158"/>
      <c r="AQ36" s="158"/>
      <c r="AR36" s="158"/>
      <c r="AS36" s="158"/>
      <c r="AT36" s="158"/>
      <c r="AU36" s="158"/>
    </row>
    <row r="37" spans="3:47" s="1" customFormat="1" x14ac:dyDescent="0.25">
      <c r="C37" s="155">
        <v>33</v>
      </c>
      <c r="D37" s="156" t="s">
        <v>828</v>
      </c>
      <c r="E37" s="156" t="s">
        <v>1307</v>
      </c>
      <c r="F37" s="156" t="s">
        <v>2397</v>
      </c>
      <c r="G37" s="156" t="s">
        <v>551</v>
      </c>
      <c r="H37" s="156" t="s">
        <v>2968</v>
      </c>
      <c r="I37" s="157" t="s">
        <v>2882</v>
      </c>
      <c r="J37" s="156" t="b">
        <v>1</v>
      </c>
      <c r="K37" s="156" t="b">
        <v>0</v>
      </c>
      <c r="L37" s="156" t="b">
        <v>0</v>
      </c>
      <c r="M37" s="156" t="b">
        <v>0</v>
      </c>
      <c r="N37" s="156"/>
      <c r="O37" s="156" t="s">
        <v>2883</v>
      </c>
      <c r="P37" s="156" t="s">
        <v>2424</v>
      </c>
      <c r="Q37" s="156"/>
      <c r="R37" s="156" t="s">
        <v>2884</v>
      </c>
      <c r="S37" s="157" t="s">
        <v>2885</v>
      </c>
      <c r="T37" s="157" t="s">
        <v>2886</v>
      </c>
      <c r="U37" s="157" t="s">
        <v>700</v>
      </c>
      <c r="V37" s="157" t="s">
        <v>2885</v>
      </c>
      <c r="W37" s="157" t="s">
        <v>2886</v>
      </c>
      <c r="X37" s="156" t="b">
        <v>0</v>
      </c>
      <c r="Y37" s="156" t="b">
        <v>0</v>
      </c>
      <c r="Z37" s="156" t="b">
        <v>0</v>
      </c>
      <c r="AA37" s="156" t="b">
        <v>0</v>
      </c>
      <c r="AB37" s="156"/>
      <c r="AC37" s="156" t="s">
        <v>2887</v>
      </c>
      <c r="AD37" s="156" t="s">
        <v>2350</v>
      </c>
      <c r="AE37" s="156" t="s">
        <v>2888</v>
      </c>
      <c r="AF37" s="158" t="s">
        <v>1920</v>
      </c>
      <c r="AG37" s="156"/>
      <c r="AH37" s="158"/>
      <c r="AI37" s="158"/>
      <c r="AJ37" s="158"/>
      <c r="AK37" s="158"/>
      <c r="AL37" s="158"/>
      <c r="AM37" s="158"/>
      <c r="AN37" s="158"/>
      <c r="AO37" s="158"/>
      <c r="AP37" s="158"/>
      <c r="AQ37" s="158"/>
      <c r="AR37" s="158"/>
      <c r="AS37" s="158"/>
      <c r="AT37" s="158"/>
      <c r="AU37" s="158"/>
    </row>
    <row r="38" spans="3:47" s="1" customFormat="1" x14ac:dyDescent="0.25">
      <c r="C38" s="155">
        <v>34</v>
      </c>
      <c r="D38" s="156" t="s">
        <v>828</v>
      </c>
      <c r="E38" s="156" t="s">
        <v>1307</v>
      </c>
      <c r="F38" s="156" t="s">
        <v>2375</v>
      </c>
      <c r="G38" s="156" t="s">
        <v>551</v>
      </c>
      <c r="H38" s="156" t="s">
        <v>1598</v>
      </c>
      <c r="I38" s="157" t="s">
        <v>598</v>
      </c>
      <c r="J38" s="156" t="b">
        <v>1</v>
      </c>
      <c r="K38" s="156" t="b">
        <v>0</v>
      </c>
      <c r="L38" s="156" t="b">
        <v>0</v>
      </c>
      <c r="M38" s="156" t="b">
        <v>0</v>
      </c>
      <c r="N38" s="156"/>
      <c r="O38" s="156" t="s">
        <v>599</v>
      </c>
      <c r="P38" s="156" t="s">
        <v>2424</v>
      </c>
      <c r="Q38" s="156" t="s">
        <v>549</v>
      </c>
      <c r="R38" s="156" t="s">
        <v>600</v>
      </c>
      <c r="S38" s="157" t="s">
        <v>601</v>
      </c>
      <c r="T38" s="157" t="s">
        <v>602</v>
      </c>
      <c r="U38" s="157" t="s">
        <v>654</v>
      </c>
      <c r="V38" s="157" t="s">
        <v>601</v>
      </c>
      <c r="W38" s="157" t="s">
        <v>602</v>
      </c>
      <c r="X38" s="156" t="b">
        <v>0</v>
      </c>
      <c r="Y38" s="156" t="b">
        <v>0</v>
      </c>
      <c r="Z38" s="156" t="b">
        <v>0</v>
      </c>
      <c r="AA38" s="156" t="b">
        <v>0</v>
      </c>
      <c r="AB38" s="156"/>
      <c r="AC38" s="156" t="s">
        <v>603</v>
      </c>
      <c r="AD38" s="156" t="s">
        <v>604</v>
      </c>
      <c r="AE38" s="156" t="s">
        <v>605</v>
      </c>
      <c r="AF38" s="158" t="s">
        <v>606</v>
      </c>
      <c r="AG38" s="156"/>
      <c r="AH38" s="158"/>
      <c r="AI38" s="158"/>
      <c r="AJ38" s="158"/>
      <c r="AK38" s="158"/>
      <c r="AL38" s="158"/>
      <c r="AM38" s="158"/>
      <c r="AN38" s="158"/>
      <c r="AO38" s="158"/>
      <c r="AP38" s="158"/>
      <c r="AQ38" s="158"/>
      <c r="AR38" s="158"/>
      <c r="AS38" s="158"/>
      <c r="AT38" s="158"/>
      <c r="AU38" s="158"/>
    </row>
    <row r="39" spans="3:47" s="1" customFormat="1" x14ac:dyDescent="0.25">
      <c r="C39" s="155">
        <v>35</v>
      </c>
      <c r="D39" s="156" t="s">
        <v>895</v>
      </c>
      <c r="E39" s="156" t="s">
        <v>1316</v>
      </c>
      <c r="F39" s="156" t="s">
        <v>2401</v>
      </c>
      <c r="G39" s="156" t="s">
        <v>551</v>
      </c>
      <c r="H39" s="156" t="s">
        <v>2464</v>
      </c>
      <c r="I39" s="157" t="s">
        <v>2465</v>
      </c>
      <c r="J39" s="156" t="b">
        <v>1</v>
      </c>
      <c r="K39" s="156" t="b">
        <v>0</v>
      </c>
      <c r="L39" s="156" t="b">
        <v>0</v>
      </c>
      <c r="M39" s="156" t="b">
        <v>0</v>
      </c>
      <c r="N39" s="156"/>
      <c r="O39" s="156" t="s">
        <v>2466</v>
      </c>
      <c r="P39" s="156" t="s">
        <v>2424</v>
      </c>
      <c r="Q39" s="156"/>
      <c r="R39" s="156" t="s">
        <v>2467</v>
      </c>
      <c r="S39" s="157" t="s">
        <v>2468</v>
      </c>
      <c r="T39" s="157" t="s">
        <v>2469</v>
      </c>
      <c r="U39" s="157" t="s">
        <v>700</v>
      </c>
      <c r="V39" s="157" t="s">
        <v>2468</v>
      </c>
      <c r="W39" s="157" t="s">
        <v>2469</v>
      </c>
      <c r="X39" s="156" t="b">
        <v>0</v>
      </c>
      <c r="Y39" s="156" t="b">
        <v>0</v>
      </c>
      <c r="Z39" s="156" t="b">
        <v>0</v>
      </c>
      <c r="AA39" s="156" t="b">
        <v>0</v>
      </c>
      <c r="AB39" s="156"/>
      <c r="AC39" s="156" t="s">
        <v>2470</v>
      </c>
      <c r="AD39" s="156" t="s">
        <v>2344</v>
      </c>
      <c r="AE39" s="156" t="s">
        <v>2471</v>
      </c>
      <c r="AF39" s="158" t="s">
        <v>2472</v>
      </c>
      <c r="AG39" s="156"/>
      <c r="AH39" s="158"/>
      <c r="AI39" s="158"/>
      <c r="AJ39" s="158"/>
      <c r="AK39" s="158"/>
      <c r="AL39" s="158"/>
      <c r="AM39" s="158"/>
      <c r="AN39" s="158"/>
      <c r="AO39" s="158"/>
      <c r="AP39" s="158"/>
      <c r="AQ39" s="158"/>
      <c r="AR39" s="158"/>
      <c r="AS39" s="158"/>
      <c r="AT39" s="158"/>
      <c r="AU39" s="158"/>
    </row>
    <row r="40" spans="3:47" s="1" customFormat="1" x14ac:dyDescent="0.25">
      <c r="C40" s="155">
        <v>36</v>
      </c>
      <c r="D40" s="156" t="s">
        <v>828</v>
      </c>
      <c r="E40" s="156" t="s">
        <v>1307</v>
      </c>
      <c r="F40" s="156" t="s">
        <v>90</v>
      </c>
      <c r="G40" s="156" t="s">
        <v>551</v>
      </c>
      <c r="H40" s="156" t="s">
        <v>1291</v>
      </c>
      <c r="I40" s="157" t="s">
        <v>1292</v>
      </c>
      <c r="J40" s="156" t="b">
        <v>1</v>
      </c>
      <c r="K40" s="156" t="b">
        <v>0</v>
      </c>
      <c r="L40" s="156" t="b">
        <v>0</v>
      </c>
      <c r="M40" s="156" t="b">
        <v>0</v>
      </c>
      <c r="N40" s="156"/>
      <c r="O40" s="156" t="s">
        <v>1629</v>
      </c>
      <c r="P40" s="156" t="s">
        <v>2424</v>
      </c>
      <c r="Q40" s="156"/>
      <c r="R40" s="156" t="s">
        <v>1293</v>
      </c>
      <c r="S40" s="157" t="s">
        <v>1294</v>
      </c>
      <c r="T40" s="157" t="s">
        <v>1295</v>
      </c>
      <c r="U40" s="157" t="s">
        <v>552</v>
      </c>
      <c r="V40" s="157" t="s">
        <v>1294</v>
      </c>
      <c r="W40" s="157" t="s">
        <v>1295</v>
      </c>
      <c r="X40" s="156" t="b">
        <v>0</v>
      </c>
      <c r="Y40" s="156" t="b">
        <v>0</v>
      </c>
      <c r="Z40" s="156" t="b">
        <v>0</v>
      </c>
      <c r="AA40" s="156" t="b">
        <v>0</v>
      </c>
      <c r="AB40" s="156"/>
      <c r="AC40" s="156" t="s">
        <v>1296</v>
      </c>
      <c r="AD40" s="156" t="s">
        <v>2349</v>
      </c>
      <c r="AE40" s="156" t="s">
        <v>1297</v>
      </c>
      <c r="AF40" s="158" t="s">
        <v>1298</v>
      </c>
      <c r="AG40" s="156"/>
      <c r="AH40" s="158"/>
      <c r="AI40" s="158"/>
      <c r="AJ40" s="158"/>
      <c r="AK40" s="158"/>
      <c r="AL40" s="158"/>
      <c r="AM40" s="158"/>
      <c r="AN40" s="158"/>
      <c r="AO40" s="158"/>
      <c r="AP40" s="158"/>
      <c r="AQ40" s="158"/>
      <c r="AR40" s="158"/>
      <c r="AS40" s="158"/>
      <c r="AT40" s="158"/>
      <c r="AU40" s="158"/>
    </row>
    <row r="41" spans="3:47" s="1" customFormat="1" x14ac:dyDescent="0.25">
      <c r="C41" s="155">
        <v>37</v>
      </c>
      <c r="D41" s="156" t="s">
        <v>806</v>
      </c>
      <c r="E41" s="156" t="s">
        <v>1172</v>
      </c>
      <c r="F41" s="156" t="s">
        <v>2421</v>
      </c>
      <c r="G41" s="156" t="s">
        <v>551</v>
      </c>
      <c r="H41" s="156" t="s">
        <v>195</v>
      </c>
      <c r="I41" s="157" t="s">
        <v>196</v>
      </c>
      <c r="J41" s="156" t="b">
        <v>1</v>
      </c>
      <c r="K41" s="156" t="b">
        <v>0</v>
      </c>
      <c r="L41" s="156" t="b">
        <v>0</v>
      </c>
      <c r="M41" s="156" t="b">
        <v>0</v>
      </c>
      <c r="N41" s="156"/>
      <c r="O41" s="156" t="s">
        <v>197</v>
      </c>
      <c r="P41" s="156" t="s">
        <v>2424</v>
      </c>
      <c r="Q41" s="156"/>
      <c r="R41" s="156" t="s">
        <v>198</v>
      </c>
      <c r="S41" s="157" t="s">
        <v>1294</v>
      </c>
      <c r="T41" s="157" t="s">
        <v>199</v>
      </c>
      <c r="U41" s="157" t="s">
        <v>700</v>
      </c>
      <c r="V41" s="157" t="s">
        <v>1294</v>
      </c>
      <c r="W41" s="157" t="s">
        <v>199</v>
      </c>
      <c r="X41" s="156" t="b">
        <v>0</v>
      </c>
      <c r="Y41" s="156" t="b">
        <v>0</v>
      </c>
      <c r="Z41" s="156" t="b">
        <v>0</v>
      </c>
      <c r="AA41" s="156" t="b">
        <v>0</v>
      </c>
      <c r="AB41" s="156"/>
      <c r="AC41" s="156" t="s">
        <v>200</v>
      </c>
      <c r="AD41" s="156" t="s">
        <v>2344</v>
      </c>
      <c r="AE41" s="156" t="s">
        <v>201</v>
      </c>
      <c r="AF41" s="158" t="s">
        <v>651</v>
      </c>
      <c r="AG41" s="156"/>
      <c r="AH41" s="158"/>
      <c r="AI41" s="158"/>
      <c r="AJ41" s="158"/>
      <c r="AK41" s="158"/>
      <c r="AL41" s="158"/>
      <c r="AM41" s="158"/>
      <c r="AN41" s="158"/>
      <c r="AO41" s="158"/>
      <c r="AP41" s="158"/>
      <c r="AQ41" s="158"/>
      <c r="AR41" s="158"/>
      <c r="AS41" s="158"/>
      <c r="AT41" s="158"/>
      <c r="AU41" s="158"/>
    </row>
    <row r="42" spans="3:47" s="1" customFormat="1" x14ac:dyDescent="0.25">
      <c r="C42" s="155">
        <v>38</v>
      </c>
      <c r="D42" s="156" t="s">
        <v>828</v>
      </c>
      <c r="E42" s="156" t="s">
        <v>1307</v>
      </c>
      <c r="F42" s="156" t="s">
        <v>2345</v>
      </c>
      <c r="G42" s="156" t="s">
        <v>551</v>
      </c>
      <c r="H42" s="156" t="s">
        <v>1598</v>
      </c>
      <c r="I42" s="157" t="s">
        <v>859</v>
      </c>
      <c r="J42" s="156" t="b">
        <v>1</v>
      </c>
      <c r="K42" s="156" t="b">
        <v>0</v>
      </c>
      <c r="L42" s="156" t="b">
        <v>0</v>
      </c>
      <c r="M42" s="156" t="b">
        <v>0</v>
      </c>
      <c r="N42" s="156"/>
      <c r="O42" s="156" t="s">
        <v>860</v>
      </c>
      <c r="P42" s="156" t="s">
        <v>2424</v>
      </c>
      <c r="Q42" s="156"/>
      <c r="R42" s="156" t="s">
        <v>861</v>
      </c>
      <c r="S42" s="157" t="s">
        <v>862</v>
      </c>
      <c r="T42" s="157" t="s">
        <v>863</v>
      </c>
      <c r="U42" s="157" t="s">
        <v>552</v>
      </c>
      <c r="V42" s="157" t="s">
        <v>862</v>
      </c>
      <c r="W42" s="157" t="s">
        <v>863</v>
      </c>
      <c r="X42" s="156" t="b">
        <v>0</v>
      </c>
      <c r="Y42" s="156" t="b">
        <v>0</v>
      </c>
      <c r="Z42" s="156" t="b">
        <v>0</v>
      </c>
      <c r="AA42" s="156" t="b">
        <v>0</v>
      </c>
      <c r="AB42" s="156"/>
      <c r="AC42" s="156" t="s">
        <v>864</v>
      </c>
      <c r="AD42" s="156" t="s">
        <v>865</v>
      </c>
      <c r="AE42" s="156" t="s">
        <v>866</v>
      </c>
      <c r="AF42" s="158" t="s">
        <v>232</v>
      </c>
      <c r="AG42" s="156"/>
      <c r="AH42" s="158"/>
      <c r="AI42" s="158"/>
      <c r="AJ42" s="158"/>
      <c r="AK42" s="158"/>
      <c r="AL42" s="158"/>
      <c r="AM42" s="158"/>
      <c r="AN42" s="158"/>
      <c r="AO42" s="158"/>
      <c r="AP42" s="158"/>
      <c r="AQ42" s="158"/>
      <c r="AR42" s="158"/>
      <c r="AS42" s="158"/>
      <c r="AT42" s="158"/>
      <c r="AU42" s="158"/>
    </row>
    <row r="43" spans="3:47" s="1" customFormat="1" x14ac:dyDescent="0.25">
      <c r="C43" s="155">
        <v>39</v>
      </c>
      <c r="D43" s="156" t="s">
        <v>828</v>
      </c>
      <c r="E43" s="156" t="s">
        <v>1307</v>
      </c>
      <c r="F43" s="156" t="s">
        <v>2358</v>
      </c>
      <c r="G43" s="156" t="s">
        <v>551</v>
      </c>
      <c r="H43" s="156" t="s">
        <v>1598</v>
      </c>
      <c r="I43" s="157" t="s">
        <v>867</v>
      </c>
      <c r="J43" s="156" t="b">
        <v>1</v>
      </c>
      <c r="K43" s="156" t="b">
        <v>0</v>
      </c>
      <c r="L43" s="156" t="b">
        <v>0</v>
      </c>
      <c r="M43" s="156" t="b">
        <v>0</v>
      </c>
      <c r="N43" s="156"/>
      <c r="O43" s="156" t="s">
        <v>2731</v>
      </c>
      <c r="P43" s="156" t="s">
        <v>2424</v>
      </c>
      <c r="Q43" s="156"/>
      <c r="R43" s="156" t="s">
        <v>861</v>
      </c>
      <c r="S43" s="157" t="s">
        <v>862</v>
      </c>
      <c r="T43" s="157" t="s">
        <v>868</v>
      </c>
      <c r="U43" s="157" t="s">
        <v>552</v>
      </c>
      <c r="V43" s="157" t="s">
        <v>862</v>
      </c>
      <c r="W43" s="157" t="s">
        <v>868</v>
      </c>
      <c r="X43" s="156" t="b">
        <v>0</v>
      </c>
      <c r="Y43" s="156" t="b">
        <v>0</v>
      </c>
      <c r="Z43" s="156" t="b">
        <v>0</v>
      </c>
      <c r="AA43" s="156" t="b">
        <v>0</v>
      </c>
      <c r="AB43" s="156"/>
      <c r="AC43" s="156" t="s">
        <v>869</v>
      </c>
      <c r="AD43" s="156" t="s">
        <v>870</v>
      </c>
      <c r="AE43" s="156" t="s">
        <v>866</v>
      </c>
      <c r="AF43" s="158" t="s">
        <v>1718</v>
      </c>
      <c r="AG43" s="156"/>
      <c r="AH43" s="158"/>
      <c r="AI43" s="158"/>
      <c r="AJ43" s="158"/>
      <c r="AK43" s="158"/>
      <c r="AL43" s="158"/>
      <c r="AM43" s="158"/>
      <c r="AN43" s="158"/>
      <c r="AO43" s="158"/>
      <c r="AP43" s="158"/>
      <c r="AQ43" s="158"/>
      <c r="AR43" s="158"/>
      <c r="AS43" s="158"/>
      <c r="AT43" s="158"/>
      <c r="AU43" s="158"/>
    </row>
    <row r="44" spans="3:47" s="1" customFormat="1" x14ac:dyDescent="0.25">
      <c r="C44" s="155">
        <v>40</v>
      </c>
      <c r="D44" s="156" t="s">
        <v>828</v>
      </c>
      <c r="E44" s="156" t="s">
        <v>1307</v>
      </c>
      <c r="F44" s="156" t="s">
        <v>2360</v>
      </c>
      <c r="G44" s="156" t="s">
        <v>551</v>
      </c>
      <c r="H44" s="156" t="s">
        <v>1598</v>
      </c>
      <c r="I44" s="157" t="s">
        <v>871</v>
      </c>
      <c r="J44" s="156" t="b">
        <v>1</v>
      </c>
      <c r="K44" s="156" t="b">
        <v>0</v>
      </c>
      <c r="L44" s="156" t="b">
        <v>0</v>
      </c>
      <c r="M44" s="156" t="b">
        <v>0</v>
      </c>
      <c r="N44" s="156"/>
      <c r="O44" s="156" t="s">
        <v>2731</v>
      </c>
      <c r="P44" s="156" t="s">
        <v>2424</v>
      </c>
      <c r="Q44" s="156"/>
      <c r="R44" s="156" t="s">
        <v>861</v>
      </c>
      <c r="S44" s="157" t="s">
        <v>862</v>
      </c>
      <c r="T44" s="157" t="s">
        <v>872</v>
      </c>
      <c r="U44" s="157" t="s">
        <v>552</v>
      </c>
      <c r="V44" s="157" t="s">
        <v>862</v>
      </c>
      <c r="W44" s="157" t="s">
        <v>872</v>
      </c>
      <c r="X44" s="156" t="b">
        <v>0</v>
      </c>
      <c r="Y44" s="156" t="b">
        <v>0</v>
      </c>
      <c r="Z44" s="156" t="b">
        <v>0</v>
      </c>
      <c r="AA44" s="156" t="b">
        <v>0</v>
      </c>
      <c r="AB44" s="156"/>
      <c r="AC44" s="156" t="s">
        <v>873</v>
      </c>
      <c r="AD44" s="156" t="s">
        <v>2348</v>
      </c>
      <c r="AE44" s="156" t="s">
        <v>866</v>
      </c>
      <c r="AF44" s="158" t="s">
        <v>1718</v>
      </c>
      <c r="AG44" s="156"/>
      <c r="AH44" s="158"/>
      <c r="AI44" s="158"/>
      <c r="AJ44" s="158"/>
      <c r="AK44" s="158"/>
      <c r="AL44" s="158"/>
      <c r="AM44" s="158"/>
      <c r="AN44" s="158"/>
      <c r="AO44" s="158"/>
      <c r="AP44" s="158"/>
      <c r="AQ44" s="158"/>
      <c r="AR44" s="158"/>
      <c r="AS44" s="158"/>
      <c r="AT44" s="158"/>
      <c r="AU44" s="158"/>
    </row>
    <row r="45" spans="3:47" s="1" customFormat="1" x14ac:dyDescent="0.25">
      <c r="C45" s="155">
        <v>41</v>
      </c>
      <c r="D45" s="156" t="s">
        <v>828</v>
      </c>
      <c r="E45" s="156" t="s">
        <v>1307</v>
      </c>
      <c r="F45" s="156" t="s">
        <v>2360</v>
      </c>
      <c r="G45" s="156" t="s">
        <v>551</v>
      </c>
      <c r="H45" s="156" t="s">
        <v>1598</v>
      </c>
      <c r="I45" s="157" t="s">
        <v>874</v>
      </c>
      <c r="J45" s="156" t="b">
        <v>1</v>
      </c>
      <c r="K45" s="156" t="b">
        <v>0</v>
      </c>
      <c r="L45" s="156" t="b">
        <v>0</v>
      </c>
      <c r="M45" s="156" t="b">
        <v>0</v>
      </c>
      <c r="N45" s="156"/>
      <c r="O45" s="156" t="s">
        <v>2731</v>
      </c>
      <c r="P45" s="156" t="s">
        <v>2424</v>
      </c>
      <c r="Q45" s="156"/>
      <c r="R45" s="156" t="s">
        <v>861</v>
      </c>
      <c r="S45" s="157" t="s">
        <v>862</v>
      </c>
      <c r="T45" s="157" t="s">
        <v>875</v>
      </c>
      <c r="U45" s="157" t="s">
        <v>552</v>
      </c>
      <c r="V45" s="157" t="s">
        <v>862</v>
      </c>
      <c r="W45" s="157" t="s">
        <v>875</v>
      </c>
      <c r="X45" s="156" t="b">
        <v>0</v>
      </c>
      <c r="Y45" s="156" t="b">
        <v>0</v>
      </c>
      <c r="Z45" s="156" t="b">
        <v>0</v>
      </c>
      <c r="AA45" s="156" t="b">
        <v>0</v>
      </c>
      <c r="AB45" s="156"/>
      <c r="AC45" s="156" t="s">
        <v>876</v>
      </c>
      <c r="AD45" s="156" t="s">
        <v>2347</v>
      </c>
      <c r="AE45" s="156" t="s">
        <v>866</v>
      </c>
      <c r="AF45" s="158" t="s">
        <v>1718</v>
      </c>
      <c r="AG45" s="156"/>
      <c r="AH45" s="158"/>
      <c r="AI45" s="158"/>
      <c r="AJ45" s="158"/>
      <c r="AK45" s="158"/>
      <c r="AL45" s="158"/>
      <c r="AM45" s="158"/>
      <c r="AN45" s="158"/>
      <c r="AO45" s="158"/>
      <c r="AP45" s="158"/>
      <c r="AQ45" s="158"/>
      <c r="AR45" s="158"/>
      <c r="AS45" s="158"/>
      <c r="AT45" s="158"/>
      <c r="AU45" s="158"/>
    </row>
    <row r="46" spans="3:47" s="1" customFormat="1" x14ac:dyDescent="0.25">
      <c r="C46" s="155">
        <v>42</v>
      </c>
      <c r="D46" s="156" t="s">
        <v>828</v>
      </c>
      <c r="E46" s="156" t="s">
        <v>1307</v>
      </c>
      <c r="F46" s="156" t="s">
        <v>2365</v>
      </c>
      <c r="G46" s="156" t="s">
        <v>551</v>
      </c>
      <c r="H46" s="156" t="s">
        <v>2723</v>
      </c>
      <c r="I46" s="157" t="s">
        <v>2724</v>
      </c>
      <c r="J46" s="156" t="b">
        <v>1</v>
      </c>
      <c r="K46" s="156" t="b">
        <v>0</v>
      </c>
      <c r="L46" s="156" t="b">
        <v>0</v>
      </c>
      <c r="M46" s="156" t="b">
        <v>0</v>
      </c>
      <c r="N46" s="156"/>
      <c r="O46" s="156" t="s">
        <v>716</v>
      </c>
      <c r="P46" s="156" t="s">
        <v>2424</v>
      </c>
      <c r="Q46" s="156"/>
      <c r="R46" s="156" t="s">
        <v>2725</v>
      </c>
      <c r="S46" s="157" t="s">
        <v>2726</v>
      </c>
      <c r="T46" s="157" t="s">
        <v>2727</v>
      </c>
      <c r="U46" s="157" t="s">
        <v>552</v>
      </c>
      <c r="V46" s="157" t="s">
        <v>2726</v>
      </c>
      <c r="W46" s="157" t="s">
        <v>2727</v>
      </c>
      <c r="X46" s="156" t="b">
        <v>0</v>
      </c>
      <c r="Y46" s="156" t="b">
        <v>0</v>
      </c>
      <c r="Z46" s="156" t="b">
        <v>0</v>
      </c>
      <c r="AA46" s="156" t="b">
        <v>0</v>
      </c>
      <c r="AB46" s="156"/>
      <c r="AC46" s="156" t="s">
        <v>2728</v>
      </c>
      <c r="AD46" s="156" t="s">
        <v>2350</v>
      </c>
      <c r="AE46" s="156" t="s">
        <v>2729</v>
      </c>
      <c r="AF46" s="158" t="s">
        <v>2730</v>
      </c>
      <c r="AG46" s="156"/>
      <c r="AH46" s="158"/>
      <c r="AI46" s="158"/>
      <c r="AJ46" s="158"/>
      <c r="AK46" s="158"/>
      <c r="AL46" s="158"/>
      <c r="AM46" s="158"/>
      <c r="AN46" s="158"/>
      <c r="AO46" s="158"/>
      <c r="AP46" s="158"/>
      <c r="AQ46" s="158"/>
      <c r="AR46" s="158"/>
      <c r="AS46" s="158"/>
      <c r="AT46" s="158"/>
      <c r="AU46" s="158"/>
    </row>
    <row r="47" spans="3:47" s="1" customFormat="1" x14ac:dyDescent="0.25">
      <c r="C47" s="155">
        <v>43</v>
      </c>
      <c r="D47" s="156" t="s">
        <v>840</v>
      </c>
      <c r="E47" s="156" t="s">
        <v>1313</v>
      </c>
      <c r="F47" s="156" t="s">
        <v>2360</v>
      </c>
      <c r="G47" s="156" t="s">
        <v>551</v>
      </c>
      <c r="H47" s="156" t="s">
        <v>1515</v>
      </c>
      <c r="I47" s="157" t="s">
        <v>1516</v>
      </c>
      <c r="J47" s="156" t="b">
        <v>1</v>
      </c>
      <c r="K47" s="156" t="b">
        <v>0</v>
      </c>
      <c r="L47" s="156" t="b">
        <v>0</v>
      </c>
      <c r="M47" s="156" t="b">
        <v>0</v>
      </c>
      <c r="N47" s="156"/>
      <c r="O47" s="156" t="s">
        <v>1517</v>
      </c>
      <c r="P47" s="156" t="s">
        <v>2424</v>
      </c>
      <c r="Q47" s="156"/>
      <c r="R47" s="156" t="s">
        <v>1518</v>
      </c>
      <c r="S47" s="157" t="s">
        <v>2726</v>
      </c>
      <c r="T47" s="157" t="s">
        <v>991</v>
      </c>
      <c r="U47" s="157" t="s">
        <v>552</v>
      </c>
      <c r="V47" s="157" t="s">
        <v>2726</v>
      </c>
      <c r="W47" s="157" t="s">
        <v>991</v>
      </c>
      <c r="X47" s="156" t="b">
        <v>0</v>
      </c>
      <c r="Y47" s="156" t="b">
        <v>0</v>
      </c>
      <c r="Z47" s="156" t="b">
        <v>0</v>
      </c>
      <c r="AA47" s="156" t="b">
        <v>0</v>
      </c>
      <c r="AB47" s="156"/>
      <c r="AC47" s="156" t="s">
        <v>876</v>
      </c>
      <c r="AD47" s="156" t="s">
        <v>2349</v>
      </c>
      <c r="AE47" s="156" t="s">
        <v>1519</v>
      </c>
      <c r="AF47" s="158" t="s">
        <v>373</v>
      </c>
      <c r="AG47" s="156"/>
      <c r="AH47" s="158"/>
      <c r="AI47" s="158"/>
      <c r="AJ47" s="158"/>
      <c r="AK47" s="158"/>
      <c r="AL47" s="158"/>
      <c r="AM47" s="158"/>
      <c r="AN47" s="158"/>
      <c r="AO47" s="158"/>
      <c r="AP47" s="158"/>
      <c r="AQ47" s="158"/>
      <c r="AR47" s="158"/>
      <c r="AS47" s="158"/>
      <c r="AT47" s="158"/>
      <c r="AU47" s="158"/>
    </row>
    <row r="48" spans="3:47" s="1" customFormat="1" x14ac:dyDescent="0.25">
      <c r="C48" s="155">
        <v>44</v>
      </c>
      <c r="D48" s="156" t="s">
        <v>828</v>
      </c>
      <c r="E48" s="156" t="s">
        <v>1307</v>
      </c>
      <c r="F48" s="156" t="s">
        <v>2358</v>
      </c>
      <c r="G48" s="156" t="s">
        <v>551</v>
      </c>
      <c r="H48" s="156" t="s">
        <v>383</v>
      </c>
      <c r="I48" s="157" t="s">
        <v>868</v>
      </c>
      <c r="J48" s="156" t="b">
        <v>1</v>
      </c>
      <c r="K48" s="156" t="b">
        <v>0</v>
      </c>
      <c r="L48" s="156" t="b">
        <v>0</v>
      </c>
      <c r="M48" s="156" t="b">
        <v>0</v>
      </c>
      <c r="N48" s="156"/>
      <c r="O48" s="156" t="s">
        <v>384</v>
      </c>
      <c r="P48" s="156" t="s">
        <v>2424</v>
      </c>
      <c r="Q48" s="156" t="s">
        <v>547</v>
      </c>
      <c r="R48" s="156" t="s">
        <v>385</v>
      </c>
      <c r="S48" s="157" t="s">
        <v>386</v>
      </c>
      <c r="T48" s="157" t="s">
        <v>387</v>
      </c>
      <c r="U48" s="157" t="s">
        <v>654</v>
      </c>
      <c r="V48" s="157" t="s">
        <v>386</v>
      </c>
      <c r="W48" s="157" t="s">
        <v>387</v>
      </c>
      <c r="X48" s="156" t="b">
        <v>0</v>
      </c>
      <c r="Y48" s="156" t="b">
        <v>0</v>
      </c>
      <c r="Z48" s="156" t="b">
        <v>0</v>
      </c>
      <c r="AA48" s="156" t="b">
        <v>0</v>
      </c>
      <c r="AB48" s="156"/>
      <c r="AC48" s="156" t="s">
        <v>388</v>
      </c>
      <c r="AD48" s="156" t="s">
        <v>2454</v>
      </c>
      <c r="AE48" s="156" t="s">
        <v>389</v>
      </c>
      <c r="AF48" s="158" t="s">
        <v>408</v>
      </c>
      <c r="AG48" s="156"/>
      <c r="AH48" s="158"/>
      <c r="AI48" s="158"/>
      <c r="AJ48" s="158"/>
      <c r="AK48" s="158"/>
      <c r="AL48" s="158"/>
      <c r="AM48" s="158"/>
      <c r="AN48" s="158"/>
      <c r="AO48" s="158"/>
      <c r="AP48" s="158"/>
      <c r="AQ48" s="158"/>
      <c r="AR48" s="158"/>
      <c r="AS48" s="158"/>
      <c r="AT48" s="158"/>
      <c r="AU48" s="158"/>
    </row>
    <row r="49" spans="3:47" s="1" customFormat="1" x14ac:dyDescent="0.25">
      <c r="C49" s="155">
        <v>45</v>
      </c>
      <c r="D49" s="156" t="s">
        <v>828</v>
      </c>
      <c r="E49" s="156" t="s">
        <v>1307</v>
      </c>
      <c r="F49" s="156" t="s">
        <v>2359</v>
      </c>
      <c r="G49" s="156" t="s">
        <v>551</v>
      </c>
      <c r="H49" s="156" t="s">
        <v>2159</v>
      </c>
      <c r="I49" s="157" t="s">
        <v>2160</v>
      </c>
      <c r="J49" s="156" t="b">
        <v>1</v>
      </c>
      <c r="K49" s="156" t="b">
        <v>0</v>
      </c>
      <c r="L49" s="156" t="b">
        <v>0</v>
      </c>
      <c r="M49" s="156" t="b">
        <v>0</v>
      </c>
      <c r="N49" s="156"/>
      <c r="O49" s="156" t="s">
        <v>2166</v>
      </c>
      <c r="P49" s="156" t="s">
        <v>67</v>
      </c>
      <c r="Q49" s="156"/>
      <c r="R49" s="156" t="s">
        <v>2167</v>
      </c>
      <c r="S49" s="157" t="s">
        <v>386</v>
      </c>
      <c r="T49" s="157" t="s">
        <v>2168</v>
      </c>
      <c r="U49" s="157" t="s">
        <v>655</v>
      </c>
      <c r="V49" s="157" t="s">
        <v>386</v>
      </c>
      <c r="W49" s="157" t="s">
        <v>2168</v>
      </c>
      <c r="X49" s="156" t="b">
        <v>0</v>
      </c>
      <c r="Y49" s="156" t="b">
        <v>0</v>
      </c>
      <c r="Z49" s="156" t="b">
        <v>0</v>
      </c>
      <c r="AA49" s="156" t="b">
        <v>0</v>
      </c>
      <c r="AB49" s="156"/>
      <c r="AC49" s="156" t="s">
        <v>2169</v>
      </c>
      <c r="AD49" s="156" t="s">
        <v>651</v>
      </c>
      <c r="AE49" s="156" t="s">
        <v>2170</v>
      </c>
      <c r="AF49" s="158" t="s">
        <v>2171</v>
      </c>
      <c r="AG49" s="156"/>
      <c r="AH49" s="158"/>
      <c r="AI49" s="158"/>
      <c r="AJ49" s="158"/>
      <c r="AK49" s="158"/>
      <c r="AL49" s="158"/>
      <c r="AM49" s="158"/>
      <c r="AN49" s="158"/>
      <c r="AO49" s="158"/>
      <c r="AP49" s="158"/>
      <c r="AQ49" s="158"/>
      <c r="AR49" s="158"/>
      <c r="AS49" s="158"/>
      <c r="AT49" s="158"/>
      <c r="AU49" s="158"/>
    </row>
    <row r="50" spans="3:47" s="1" customFormat="1" x14ac:dyDescent="0.25">
      <c r="C50" s="155">
        <v>46</v>
      </c>
      <c r="D50" s="156" t="s">
        <v>828</v>
      </c>
      <c r="E50" s="156" t="s">
        <v>1307</v>
      </c>
      <c r="F50" s="156" t="s">
        <v>1042</v>
      </c>
      <c r="G50" s="156" t="s">
        <v>551</v>
      </c>
      <c r="H50" s="156" t="s">
        <v>2434</v>
      </c>
      <c r="I50" s="157" t="s">
        <v>1043</v>
      </c>
      <c r="J50" s="156" t="b">
        <v>1</v>
      </c>
      <c r="K50" s="156" t="b">
        <v>0</v>
      </c>
      <c r="L50" s="156" t="b">
        <v>0</v>
      </c>
      <c r="M50" s="156" t="b">
        <v>0</v>
      </c>
      <c r="N50" s="156"/>
      <c r="O50" s="156" t="s">
        <v>1044</v>
      </c>
      <c r="P50" s="156" t="s">
        <v>2424</v>
      </c>
      <c r="Q50" s="156" t="s">
        <v>547</v>
      </c>
      <c r="R50" s="156" t="s">
        <v>1045</v>
      </c>
      <c r="S50" s="157" t="s">
        <v>1046</v>
      </c>
      <c r="T50" s="157" t="s">
        <v>1047</v>
      </c>
      <c r="U50" s="157" t="s">
        <v>654</v>
      </c>
      <c r="V50" s="157" t="s">
        <v>1046</v>
      </c>
      <c r="W50" s="157" t="s">
        <v>1047</v>
      </c>
      <c r="X50" s="156" t="b">
        <v>0</v>
      </c>
      <c r="Y50" s="156" t="b">
        <v>0</v>
      </c>
      <c r="Z50" s="156" t="b">
        <v>0</v>
      </c>
      <c r="AA50" s="156" t="b">
        <v>0</v>
      </c>
      <c r="AB50" s="156"/>
      <c r="AC50" s="156" t="s">
        <v>200</v>
      </c>
      <c r="AD50" s="156" t="s">
        <v>2343</v>
      </c>
      <c r="AE50" s="156" t="s">
        <v>1048</v>
      </c>
      <c r="AF50" s="158" t="s">
        <v>1057</v>
      </c>
      <c r="AG50" s="156"/>
      <c r="AH50" s="158"/>
      <c r="AI50" s="158"/>
      <c r="AJ50" s="158"/>
      <c r="AK50" s="158"/>
      <c r="AL50" s="158"/>
      <c r="AM50" s="158"/>
      <c r="AN50" s="158"/>
      <c r="AO50" s="158"/>
      <c r="AP50" s="158"/>
      <c r="AQ50" s="158"/>
      <c r="AR50" s="158"/>
      <c r="AS50" s="158"/>
      <c r="AT50" s="158"/>
      <c r="AU50" s="158"/>
    </row>
    <row r="51" spans="3:47" s="1" customFormat="1" x14ac:dyDescent="0.25">
      <c r="C51" s="155">
        <v>47</v>
      </c>
      <c r="D51" s="156" t="s">
        <v>828</v>
      </c>
      <c r="E51" s="156" t="s">
        <v>1307</v>
      </c>
      <c r="F51" s="156" t="s">
        <v>2868</v>
      </c>
      <c r="G51" s="156" t="s">
        <v>551</v>
      </c>
      <c r="H51" s="156" t="s">
        <v>2434</v>
      </c>
      <c r="I51" s="157" t="s">
        <v>2869</v>
      </c>
      <c r="J51" s="156" t="b">
        <v>1</v>
      </c>
      <c r="K51" s="156" t="b">
        <v>0</v>
      </c>
      <c r="L51" s="156" t="b">
        <v>0</v>
      </c>
      <c r="M51" s="156" t="b">
        <v>0</v>
      </c>
      <c r="N51" s="156"/>
      <c r="O51" s="156" t="s">
        <v>2870</v>
      </c>
      <c r="P51" s="156" t="s">
        <v>2424</v>
      </c>
      <c r="Q51" s="156"/>
      <c r="R51" s="156" t="s">
        <v>861</v>
      </c>
      <c r="S51" s="157" t="s">
        <v>2871</v>
      </c>
      <c r="T51" s="157" t="s">
        <v>2877</v>
      </c>
      <c r="U51" s="157" t="s">
        <v>700</v>
      </c>
      <c r="V51" s="157" t="s">
        <v>2871</v>
      </c>
      <c r="W51" s="157" t="s">
        <v>2877</v>
      </c>
      <c r="X51" s="156" t="b">
        <v>0</v>
      </c>
      <c r="Y51" s="156" t="b">
        <v>0</v>
      </c>
      <c r="Z51" s="156" t="b">
        <v>0</v>
      </c>
      <c r="AA51" s="156" t="b">
        <v>0</v>
      </c>
      <c r="AB51" s="156"/>
      <c r="AC51" s="156" t="s">
        <v>2878</v>
      </c>
      <c r="AD51" s="156" t="s">
        <v>2342</v>
      </c>
      <c r="AE51" s="156" t="s">
        <v>2879</v>
      </c>
      <c r="AF51" s="158" t="s">
        <v>2880</v>
      </c>
      <c r="AG51" s="156"/>
      <c r="AH51" s="158"/>
      <c r="AI51" s="158"/>
      <c r="AJ51" s="158"/>
      <c r="AK51" s="158"/>
      <c r="AL51" s="158"/>
      <c r="AM51" s="158"/>
      <c r="AN51" s="158"/>
      <c r="AO51" s="158"/>
      <c r="AP51" s="158"/>
      <c r="AQ51" s="158"/>
      <c r="AR51" s="158"/>
      <c r="AS51" s="158"/>
      <c r="AT51" s="158"/>
      <c r="AU51" s="158"/>
    </row>
    <row r="52" spans="3:47" s="1" customFormat="1" x14ac:dyDescent="0.25">
      <c r="C52" s="155">
        <v>48</v>
      </c>
      <c r="D52" s="156" t="s">
        <v>501</v>
      </c>
      <c r="E52" s="156" t="s">
        <v>502</v>
      </c>
      <c r="F52" s="156" t="s">
        <v>503</v>
      </c>
      <c r="G52" s="156" t="s">
        <v>551</v>
      </c>
      <c r="H52" s="156" t="s">
        <v>511</v>
      </c>
      <c r="I52" s="157" t="s">
        <v>512</v>
      </c>
      <c r="J52" s="156" t="b">
        <v>1</v>
      </c>
      <c r="K52" s="156" t="b">
        <v>0</v>
      </c>
      <c r="L52" s="156" t="b">
        <v>0</v>
      </c>
      <c r="M52" s="156" t="b">
        <v>0</v>
      </c>
      <c r="N52" s="156"/>
      <c r="O52" s="156" t="s">
        <v>513</v>
      </c>
      <c r="P52" s="156" t="s">
        <v>2424</v>
      </c>
      <c r="Q52" s="156" t="s">
        <v>514</v>
      </c>
      <c r="R52" s="156" t="s">
        <v>515</v>
      </c>
      <c r="S52" s="157" t="s">
        <v>516</v>
      </c>
      <c r="T52" s="157" t="s">
        <v>517</v>
      </c>
      <c r="U52" s="157" t="s">
        <v>700</v>
      </c>
      <c r="V52" s="157" t="s">
        <v>516</v>
      </c>
      <c r="W52" s="157" t="s">
        <v>517</v>
      </c>
      <c r="X52" s="156" t="b">
        <v>0</v>
      </c>
      <c r="Y52" s="156" t="b">
        <v>0</v>
      </c>
      <c r="Z52" s="156" t="b">
        <v>0</v>
      </c>
      <c r="AA52" s="156" t="b">
        <v>0</v>
      </c>
      <c r="AB52" s="156"/>
      <c r="AC52" s="156" t="s">
        <v>518</v>
      </c>
      <c r="AD52" s="156" t="s">
        <v>651</v>
      </c>
      <c r="AE52" s="156" t="s">
        <v>519</v>
      </c>
      <c r="AF52" s="158" t="s">
        <v>520</v>
      </c>
      <c r="AG52" s="156"/>
      <c r="AH52" s="158"/>
      <c r="AI52" s="158"/>
      <c r="AJ52" s="158"/>
      <c r="AK52" s="158"/>
      <c r="AL52" s="158"/>
      <c r="AM52" s="158"/>
      <c r="AN52" s="158"/>
      <c r="AO52" s="158"/>
      <c r="AP52" s="158"/>
      <c r="AQ52" s="158"/>
      <c r="AR52" s="158"/>
      <c r="AS52" s="158"/>
      <c r="AT52" s="158"/>
      <c r="AU52" s="158"/>
    </row>
    <row r="53" spans="3:47" s="1" customFormat="1" x14ac:dyDescent="0.25">
      <c r="C53" s="155">
        <v>49</v>
      </c>
      <c r="D53" s="156" t="s">
        <v>828</v>
      </c>
      <c r="E53" s="156" t="s">
        <v>1307</v>
      </c>
      <c r="F53" s="156" t="s">
        <v>2375</v>
      </c>
      <c r="G53" s="156" t="s">
        <v>551</v>
      </c>
      <c r="H53" s="156" t="s">
        <v>2270</v>
      </c>
      <c r="I53" s="157" t="s">
        <v>2271</v>
      </c>
      <c r="J53" s="156" t="b">
        <v>1</v>
      </c>
      <c r="K53" s="156" t="b">
        <v>0</v>
      </c>
      <c r="L53" s="156" t="b">
        <v>0</v>
      </c>
      <c r="M53" s="156" t="b">
        <v>0</v>
      </c>
      <c r="N53" s="156"/>
      <c r="O53" s="156"/>
      <c r="P53" s="156" t="s">
        <v>67</v>
      </c>
      <c r="Q53" s="156"/>
      <c r="R53" s="156" t="s">
        <v>2018</v>
      </c>
      <c r="S53" s="157" t="s">
        <v>516</v>
      </c>
      <c r="T53" s="157" t="s">
        <v>2272</v>
      </c>
      <c r="U53" s="157" t="s">
        <v>655</v>
      </c>
      <c r="V53" s="157" t="s">
        <v>516</v>
      </c>
      <c r="W53" s="157" t="s">
        <v>2272</v>
      </c>
      <c r="X53" s="156" t="b">
        <v>0</v>
      </c>
      <c r="Y53" s="156" t="b">
        <v>0</v>
      </c>
      <c r="Z53" s="156" t="b">
        <v>0</v>
      </c>
      <c r="AA53" s="156" t="b">
        <v>0</v>
      </c>
      <c r="AB53" s="156"/>
      <c r="AC53" s="156" t="s">
        <v>1296</v>
      </c>
      <c r="AD53" s="156" t="s">
        <v>2348</v>
      </c>
      <c r="AE53" s="156" t="s">
        <v>2428</v>
      </c>
      <c r="AF53" s="158" t="s">
        <v>2280</v>
      </c>
      <c r="AG53" s="156"/>
      <c r="AH53" s="158"/>
      <c r="AI53" s="158"/>
      <c r="AJ53" s="158"/>
      <c r="AK53" s="158"/>
      <c r="AL53" s="158"/>
      <c r="AM53" s="158"/>
      <c r="AN53" s="158"/>
      <c r="AO53" s="158"/>
      <c r="AP53" s="158"/>
      <c r="AQ53" s="158"/>
      <c r="AR53" s="158"/>
      <c r="AS53" s="158"/>
      <c r="AT53" s="158"/>
      <c r="AU53" s="158"/>
    </row>
    <row r="54" spans="3:47" s="1" customFormat="1" x14ac:dyDescent="0.25">
      <c r="C54" s="155">
        <v>50</v>
      </c>
      <c r="D54" s="156" t="s">
        <v>828</v>
      </c>
      <c r="E54" s="156" t="s">
        <v>1307</v>
      </c>
      <c r="F54" s="156" t="s">
        <v>88</v>
      </c>
      <c r="G54" s="156" t="s">
        <v>551</v>
      </c>
      <c r="H54" s="156" t="s">
        <v>383</v>
      </c>
      <c r="I54" s="157" t="s">
        <v>1093</v>
      </c>
      <c r="J54" s="156" t="b">
        <v>1</v>
      </c>
      <c r="K54" s="156" t="b">
        <v>0</v>
      </c>
      <c r="L54" s="156" t="b">
        <v>0</v>
      </c>
      <c r="M54" s="156" t="b">
        <v>0</v>
      </c>
      <c r="N54" s="156"/>
      <c r="O54" s="156" t="s">
        <v>1999</v>
      </c>
      <c r="P54" s="156" t="s">
        <v>2425</v>
      </c>
      <c r="Q54" s="156"/>
      <c r="R54" s="156" t="s">
        <v>1094</v>
      </c>
      <c r="S54" s="157" t="s">
        <v>1095</v>
      </c>
      <c r="T54" s="157" t="s">
        <v>1096</v>
      </c>
      <c r="U54" s="157" t="s">
        <v>653</v>
      </c>
      <c r="V54" s="157" t="s">
        <v>1095</v>
      </c>
      <c r="W54" s="157" t="s">
        <v>1096</v>
      </c>
      <c r="X54" s="156" t="b">
        <v>0</v>
      </c>
      <c r="Y54" s="156" t="b">
        <v>0</v>
      </c>
      <c r="Z54" s="156" t="b">
        <v>0</v>
      </c>
      <c r="AA54" s="156" t="b">
        <v>0</v>
      </c>
      <c r="AB54" s="156"/>
      <c r="AC54" s="156" t="s">
        <v>869</v>
      </c>
      <c r="AD54" s="156" t="s">
        <v>2344</v>
      </c>
      <c r="AE54" s="156" t="s">
        <v>1097</v>
      </c>
      <c r="AF54" s="158" t="s">
        <v>1619</v>
      </c>
      <c r="AG54" s="156"/>
      <c r="AH54" s="158"/>
      <c r="AI54" s="158"/>
      <c r="AJ54" s="158"/>
      <c r="AK54" s="158"/>
      <c r="AL54" s="158"/>
      <c r="AM54" s="158"/>
      <c r="AN54" s="158"/>
      <c r="AO54" s="158"/>
      <c r="AP54" s="158"/>
      <c r="AQ54" s="158"/>
      <c r="AR54" s="158"/>
      <c r="AS54" s="158"/>
      <c r="AT54" s="158"/>
      <c r="AU54" s="158"/>
    </row>
    <row r="55" spans="3:47" s="1" customFormat="1" x14ac:dyDescent="0.25">
      <c r="C55" s="155">
        <v>51</v>
      </c>
      <c r="D55" s="156" t="s">
        <v>828</v>
      </c>
      <c r="E55" s="156" t="s">
        <v>1307</v>
      </c>
      <c r="F55" s="156" t="s">
        <v>73</v>
      </c>
      <c r="G55" s="156" t="s">
        <v>551</v>
      </c>
      <c r="H55" s="156" t="s">
        <v>1631</v>
      </c>
      <c r="I55" s="157" t="s">
        <v>1632</v>
      </c>
      <c r="J55" s="156" t="b">
        <v>1</v>
      </c>
      <c r="K55" s="156" t="b">
        <v>0</v>
      </c>
      <c r="L55" s="156" t="b">
        <v>0</v>
      </c>
      <c r="M55" s="156" t="b">
        <v>0</v>
      </c>
      <c r="N55" s="156"/>
      <c r="O55" s="156" t="s">
        <v>576</v>
      </c>
      <c r="P55" s="156" t="s">
        <v>2424</v>
      </c>
      <c r="Q55" s="156"/>
      <c r="R55" s="156" t="s">
        <v>1633</v>
      </c>
      <c r="S55" s="157" t="s">
        <v>1634</v>
      </c>
      <c r="T55" s="157" t="s">
        <v>1635</v>
      </c>
      <c r="U55" s="157" t="s">
        <v>655</v>
      </c>
      <c r="V55" s="157" t="s">
        <v>1634</v>
      </c>
      <c r="W55" s="157" t="s">
        <v>1635</v>
      </c>
      <c r="X55" s="156" t="b">
        <v>0</v>
      </c>
      <c r="Y55" s="156" t="b">
        <v>0</v>
      </c>
      <c r="Z55" s="156" t="b">
        <v>0</v>
      </c>
      <c r="AA55" s="156" t="b">
        <v>0</v>
      </c>
      <c r="AB55" s="156"/>
      <c r="AC55" s="156" t="s">
        <v>1636</v>
      </c>
      <c r="AD55" s="156" t="s">
        <v>2350</v>
      </c>
      <c r="AE55" s="156" t="s">
        <v>1637</v>
      </c>
      <c r="AF55" s="158" t="s">
        <v>1798</v>
      </c>
      <c r="AG55" s="156"/>
      <c r="AH55" s="158"/>
      <c r="AI55" s="158"/>
      <c r="AJ55" s="158"/>
      <c r="AK55" s="158"/>
      <c r="AL55" s="158"/>
      <c r="AM55" s="158"/>
      <c r="AN55" s="158"/>
      <c r="AO55" s="158"/>
      <c r="AP55" s="158"/>
      <c r="AQ55" s="158"/>
      <c r="AR55" s="158"/>
      <c r="AS55" s="158"/>
      <c r="AT55" s="158"/>
      <c r="AU55" s="158"/>
    </row>
    <row r="56" spans="3:47" s="1" customFormat="1" x14ac:dyDescent="0.25">
      <c r="C56" s="155">
        <v>52</v>
      </c>
      <c r="D56" s="156" t="s">
        <v>828</v>
      </c>
      <c r="E56" s="156" t="s">
        <v>1307</v>
      </c>
      <c r="F56" s="156" t="s">
        <v>2371</v>
      </c>
      <c r="G56" s="156" t="s">
        <v>551</v>
      </c>
      <c r="H56" s="156" t="s">
        <v>2723</v>
      </c>
      <c r="I56" s="157" t="s">
        <v>504</v>
      </c>
      <c r="J56" s="156" t="b">
        <v>1</v>
      </c>
      <c r="K56" s="156" t="b">
        <v>0</v>
      </c>
      <c r="L56" s="156" t="b">
        <v>0</v>
      </c>
      <c r="M56" s="156" t="b">
        <v>1</v>
      </c>
      <c r="N56" s="156" t="s">
        <v>505</v>
      </c>
      <c r="O56" s="156" t="s">
        <v>1629</v>
      </c>
      <c r="P56" s="156" t="s">
        <v>2424</v>
      </c>
      <c r="Q56" s="156"/>
      <c r="R56" s="156" t="s">
        <v>2970</v>
      </c>
      <c r="S56" s="157" t="s">
        <v>506</v>
      </c>
      <c r="T56" s="157" t="s">
        <v>507</v>
      </c>
      <c r="U56" s="157" t="s">
        <v>552</v>
      </c>
      <c r="V56" s="157" t="s">
        <v>506</v>
      </c>
      <c r="W56" s="157" t="s">
        <v>507</v>
      </c>
      <c r="X56" s="156" t="b">
        <v>0</v>
      </c>
      <c r="Y56" s="156" t="b">
        <v>0</v>
      </c>
      <c r="Z56" s="156" t="b">
        <v>0</v>
      </c>
      <c r="AA56" s="156" t="b">
        <v>0</v>
      </c>
      <c r="AB56" s="156"/>
      <c r="AC56" s="156" t="s">
        <v>508</v>
      </c>
      <c r="AD56" s="156" t="s">
        <v>651</v>
      </c>
      <c r="AE56" s="156" t="s">
        <v>509</v>
      </c>
      <c r="AF56" s="158" t="s">
        <v>510</v>
      </c>
      <c r="AG56" s="156"/>
      <c r="AH56" s="158"/>
      <c r="AI56" s="158"/>
      <c r="AJ56" s="158"/>
      <c r="AK56" s="158"/>
      <c r="AL56" s="158"/>
      <c r="AM56" s="158"/>
      <c r="AN56" s="158"/>
      <c r="AO56" s="158"/>
      <c r="AP56" s="158"/>
      <c r="AQ56" s="158"/>
      <c r="AR56" s="158"/>
      <c r="AS56" s="158"/>
      <c r="AT56" s="158"/>
      <c r="AU56" s="158"/>
    </row>
    <row r="57" spans="3:47" s="1" customFormat="1" x14ac:dyDescent="0.25">
      <c r="C57" s="155">
        <v>53</v>
      </c>
      <c r="D57" s="156" t="s">
        <v>828</v>
      </c>
      <c r="E57" s="156" t="s">
        <v>1307</v>
      </c>
      <c r="F57" s="156" t="s">
        <v>2371</v>
      </c>
      <c r="G57" s="156" t="s">
        <v>551</v>
      </c>
      <c r="H57" s="156" t="s">
        <v>383</v>
      </c>
      <c r="I57" s="157" t="s">
        <v>2238</v>
      </c>
      <c r="J57" s="156" t="b">
        <v>1</v>
      </c>
      <c r="K57" s="156" t="b">
        <v>0</v>
      </c>
      <c r="L57" s="156" t="b">
        <v>0</v>
      </c>
      <c r="M57" s="156" t="b">
        <v>0</v>
      </c>
      <c r="N57" s="156"/>
      <c r="O57" s="156"/>
      <c r="P57" s="156" t="s">
        <v>67</v>
      </c>
      <c r="Q57" s="156" t="s">
        <v>2239</v>
      </c>
      <c r="R57" s="156" t="s">
        <v>1856</v>
      </c>
      <c r="S57" s="157" t="s">
        <v>2240</v>
      </c>
      <c r="T57" s="157" t="s">
        <v>2241</v>
      </c>
      <c r="U57" s="157" t="s">
        <v>655</v>
      </c>
      <c r="V57" s="157" t="s">
        <v>2240</v>
      </c>
      <c r="W57" s="157" t="s">
        <v>2241</v>
      </c>
      <c r="X57" s="156" t="b">
        <v>0</v>
      </c>
      <c r="Y57" s="156" t="b">
        <v>0</v>
      </c>
      <c r="Z57" s="156" t="b">
        <v>0</v>
      </c>
      <c r="AA57" s="156" t="b">
        <v>0</v>
      </c>
      <c r="AB57" s="156"/>
      <c r="AC57" s="156" t="s">
        <v>2242</v>
      </c>
      <c r="AD57" s="156" t="s">
        <v>2342</v>
      </c>
      <c r="AE57" s="156" t="s">
        <v>2243</v>
      </c>
      <c r="AF57" s="158" t="s">
        <v>2244</v>
      </c>
      <c r="AG57" s="156"/>
      <c r="AH57" s="158"/>
      <c r="AI57" s="158"/>
      <c r="AJ57" s="158"/>
      <c r="AK57" s="158"/>
      <c r="AL57" s="158"/>
      <c r="AM57" s="158"/>
      <c r="AN57" s="158"/>
      <c r="AO57" s="158"/>
      <c r="AP57" s="158"/>
      <c r="AQ57" s="158"/>
      <c r="AR57" s="158"/>
      <c r="AS57" s="158"/>
      <c r="AT57" s="158"/>
      <c r="AU57" s="158"/>
    </row>
    <row r="58" spans="3:47" s="1" customFormat="1" x14ac:dyDescent="0.25">
      <c r="C58" s="155">
        <v>54</v>
      </c>
      <c r="D58" s="156" t="s">
        <v>828</v>
      </c>
      <c r="E58" s="156" t="s">
        <v>1307</v>
      </c>
      <c r="F58" s="156" t="s">
        <v>2359</v>
      </c>
      <c r="G58" s="156" t="s">
        <v>551</v>
      </c>
      <c r="H58" s="156" t="s">
        <v>1049</v>
      </c>
      <c r="I58" s="157" t="s">
        <v>1050</v>
      </c>
      <c r="J58" s="156" t="b">
        <v>1</v>
      </c>
      <c r="K58" s="156" t="b">
        <v>0</v>
      </c>
      <c r="L58" s="156" t="b">
        <v>0</v>
      </c>
      <c r="M58" s="156" t="b">
        <v>0</v>
      </c>
      <c r="N58" s="156"/>
      <c r="O58" s="156" t="s">
        <v>1051</v>
      </c>
      <c r="P58" s="156" t="s">
        <v>2424</v>
      </c>
      <c r="Q58" s="156" t="s">
        <v>547</v>
      </c>
      <c r="R58" s="156" t="s">
        <v>1052</v>
      </c>
      <c r="S58" s="157" t="s">
        <v>1053</v>
      </c>
      <c r="T58" s="157" t="s">
        <v>1054</v>
      </c>
      <c r="U58" s="157" t="s">
        <v>655</v>
      </c>
      <c r="V58" s="157" t="s">
        <v>1053</v>
      </c>
      <c r="W58" s="157" t="s">
        <v>1054</v>
      </c>
      <c r="X58" s="156" t="b">
        <v>0</v>
      </c>
      <c r="Y58" s="156" t="b">
        <v>0</v>
      </c>
      <c r="Z58" s="156" t="b">
        <v>0</v>
      </c>
      <c r="AA58" s="156" t="b">
        <v>0</v>
      </c>
      <c r="AB58" s="156"/>
      <c r="AC58" s="156" t="s">
        <v>200</v>
      </c>
      <c r="AD58" s="156" t="s">
        <v>651</v>
      </c>
      <c r="AE58" s="156" t="s">
        <v>1055</v>
      </c>
      <c r="AF58" s="158" t="s">
        <v>1056</v>
      </c>
      <c r="AG58" s="156"/>
      <c r="AH58" s="158"/>
      <c r="AI58" s="158"/>
      <c r="AJ58" s="158"/>
      <c r="AK58" s="158"/>
      <c r="AL58" s="158"/>
      <c r="AM58" s="158"/>
      <c r="AN58" s="158"/>
      <c r="AO58" s="158"/>
      <c r="AP58" s="158"/>
      <c r="AQ58" s="158"/>
      <c r="AR58" s="158"/>
      <c r="AS58" s="158"/>
      <c r="AT58" s="158"/>
      <c r="AU58" s="158"/>
    </row>
    <row r="59" spans="3:47" s="1" customFormat="1" x14ac:dyDescent="0.25">
      <c r="C59" s="155">
        <v>55</v>
      </c>
      <c r="D59" s="156" t="s">
        <v>828</v>
      </c>
      <c r="E59" s="156" t="s">
        <v>1307</v>
      </c>
      <c r="F59" s="156" t="s">
        <v>2360</v>
      </c>
      <c r="G59" s="156" t="s">
        <v>551</v>
      </c>
      <c r="H59" s="156" t="s">
        <v>2723</v>
      </c>
      <c r="I59" s="157" t="s">
        <v>2843</v>
      </c>
      <c r="J59" s="156" t="b">
        <v>1</v>
      </c>
      <c r="K59" s="156" t="b">
        <v>0</v>
      </c>
      <c r="L59" s="156" t="b">
        <v>0</v>
      </c>
      <c r="M59" s="156" t="b">
        <v>0</v>
      </c>
      <c r="N59" s="156"/>
      <c r="O59" s="156" t="s">
        <v>2245</v>
      </c>
      <c r="P59" s="156" t="s">
        <v>2424</v>
      </c>
      <c r="Q59" s="156" t="s">
        <v>547</v>
      </c>
      <c r="R59" s="156" t="s">
        <v>1052</v>
      </c>
      <c r="S59" s="157" t="s">
        <v>2844</v>
      </c>
      <c r="T59" s="157" t="s">
        <v>2845</v>
      </c>
      <c r="U59" s="157" t="s">
        <v>655</v>
      </c>
      <c r="V59" s="157" t="s">
        <v>2844</v>
      </c>
      <c r="W59" s="157" t="s">
        <v>2845</v>
      </c>
      <c r="X59" s="156" t="b">
        <v>0</v>
      </c>
      <c r="Y59" s="156" t="b">
        <v>0</v>
      </c>
      <c r="Z59" s="156" t="b">
        <v>0</v>
      </c>
      <c r="AA59" s="156" t="b">
        <v>0</v>
      </c>
      <c r="AB59" s="156"/>
      <c r="AC59" s="156" t="s">
        <v>2846</v>
      </c>
      <c r="AD59" s="156" t="s">
        <v>2347</v>
      </c>
      <c r="AE59" s="156" t="s">
        <v>2847</v>
      </c>
      <c r="AF59" s="158" t="s">
        <v>1793</v>
      </c>
      <c r="AG59" s="156"/>
      <c r="AH59" s="158"/>
      <c r="AI59" s="158"/>
      <c r="AJ59" s="158"/>
      <c r="AK59" s="158"/>
      <c r="AL59" s="158"/>
      <c r="AM59" s="158"/>
      <c r="AN59" s="158"/>
      <c r="AO59" s="158"/>
      <c r="AP59" s="158"/>
      <c r="AQ59" s="158"/>
      <c r="AR59" s="158"/>
      <c r="AS59" s="158"/>
      <c r="AT59" s="158"/>
      <c r="AU59" s="158"/>
    </row>
    <row r="60" spans="3:47" s="1" customFormat="1" x14ac:dyDescent="0.25">
      <c r="C60" s="155">
        <v>56</v>
      </c>
      <c r="D60" s="156" t="s">
        <v>934</v>
      </c>
      <c r="E60" s="156" t="s">
        <v>1037</v>
      </c>
      <c r="F60" s="156" t="s">
        <v>2375</v>
      </c>
      <c r="G60" s="156" t="s">
        <v>551</v>
      </c>
      <c r="H60" s="156" t="s">
        <v>1557</v>
      </c>
      <c r="I60" s="157" t="s">
        <v>1558</v>
      </c>
      <c r="J60" s="156" t="b">
        <v>1</v>
      </c>
      <c r="K60" s="156" t="b">
        <v>0</v>
      </c>
      <c r="L60" s="156" t="b">
        <v>0</v>
      </c>
      <c r="M60" s="156" t="b">
        <v>0</v>
      </c>
      <c r="N60" s="156"/>
      <c r="O60" s="156" t="s">
        <v>1559</v>
      </c>
      <c r="P60" s="156" t="s">
        <v>2424</v>
      </c>
      <c r="Q60" s="156"/>
      <c r="R60" s="156" t="s">
        <v>1560</v>
      </c>
      <c r="S60" s="157" t="s">
        <v>2844</v>
      </c>
      <c r="T60" s="157" t="s">
        <v>1561</v>
      </c>
      <c r="U60" s="157" t="s">
        <v>552</v>
      </c>
      <c r="V60" s="157" t="s">
        <v>2844</v>
      </c>
      <c r="W60" s="157" t="s">
        <v>1561</v>
      </c>
      <c r="X60" s="156" t="b">
        <v>0</v>
      </c>
      <c r="Y60" s="156" t="b">
        <v>0</v>
      </c>
      <c r="Z60" s="156" t="b">
        <v>0</v>
      </c>
      <c r="AA60" s="156" t="b">
        <v>0</v>
      </c>
      <c r="AB60" s="156"/>
      <c r="AC60" s="156" t="s">
        <v>1562</v>
      </c>
      <c r="AD60" s="156" t="s">
        <v>2347</v>
      </c>
      <c r="AE60" s="156" t="s">
        <v>1563</v>
      </c>
      <c r="AF60" s="158" t="s">
        <v>1564</v>
      </c>
      <c r="AG60" s="156"/>
      <c r="AH60" s="158"/>
      <c r="AI60" s="158"/>
      <c r="AJ60" s="158"/>
      <c r="AK60" s="158"/>
      <c r="AL60" s="158"/>
      <c r="AM60" s="158"/>
      <c r="AN60" s="158"/>
      <c r="AO60" s="158"/>
      <c r="AP60" s="158"/>
      <c r="AQ60" s="158"/>
      <c r="AR60" s="158"/>
      <c r="AS60" s="158"/>
      <c r="AT60" s="158"/>
      <c r="AU60" s="158"/>
    </row>
    <row r="61" spans="3:47" s="1" customFormat="1" x14ac:dyDescent="0.25">
      <c r="C61" s="155">
        <v>57</v>
      </c>
      <c r="D61" s="156" t="s">
        <v>828</v>
      </c>
      <c r="E61" s="156" t="s">
        <v>1307</v>
      </c>
      <c r="F61" s="156" t="s">
        <v>2373</v>
      </c>
      <c r="G61" s="156" t="s">
        <v>551</v>
      </c>
      <c r="H61" s="156" t="s">
        <v>1598</v>
      </c>
      <c r="I61" s="157" t="s">
        <v>414</v>
      </c>
      <c r="J61" s="156" t="b">
        <v>1</v>
      </c>
      <c r="K61" s="156" t="b">
        <v>0</v>
      </c>
      <c r="L61" s="156" t="b">
        <v>0</v>
      </c>
      <c r="M61" s="156" t="b">
        <v>0</v>
      </c>
      <c r="N61" s="156"/>
      <c r="O61" s="156" t="s">
        <v>415</v>
      </c>
      <c r="P61" s="156" t="s">
        <v>2424</v>
      </c>
      <c r="Q61" s="156"/>
      <c r="R61" s="156" t="s">
        <v>2578</v>
      </c>
      <c r="S61" s="157" t="s">
        <v>416</v>
      </c>
      <c r="T61" s="157" t="s">
        <v>417</v>
      </c>
      <c r="U61" s="157" t="s">
        <v>552</v>
      </c>
      <c r="V61" s="157" t="s">
        <v>416</v>
      </c>
      <c r="W61" s="157" t="s">
        <v>417</v>
      </c>
      <c r="X61" s="156" t="b">
        <v>0</v>
      </c>
      <c r="Y61" s="156" t="b">
        <v>0</v>
      </c>
      <c r="Z61" s="156" t="b">
        <v>0</v>
      </c>
      <c r="AA61" s="156" t="b">
        <v>0</v>
      </c>
      <c r="AB61" s="156"/>
      <c r="AC61" s="156" t="s">
        <v>418</v>
      </c>
      <c r="AD61" s="156" t="s">
        <v>2343</v>
      </c>
      <c r="AE61" s="156" t="s">
        <v>419</v>
      </c>
      <c r="AF61" s="158" t="s">
        <v>207</v>
      </c>
      <c r="AG61" s="156"/>
      <c r="AH61" s="158"/>
      <c r="AI61" s="158"/>
      <c r="AJ61" s="158"/>
      <c r="AK61" s="158"/>
      <c r="AL61" s="158"/>
      <c r="AM61" s="158"/>
      <c r="AN61" s="158"/>
      <c r="AO61" s="158"/>
      <c r="AP61" s="158"/>
      <c r="AQ61" s="158"/>
      <c r="AR61" s="158"/>
      <c r="AS61" s="158"/>
      <c r="AT61" s="158"/>
      <c r="AU61" s="158"/>
    </row>
    <row r="62" spans="3:47" s="1" customFormat="1" x14ac:dyDescent="0.25">
      <c r="C62" s="155">
        <v>58</v>
      </c>
      <c r="D62" s="156" t="s">
        <v>828</v>
      </c>
      <c r="E62" s="156" t="s">
        <v>1307</v>
      </c>
      <c r="F62" s="156" t="s">
        <v>2372</v>
      </c>
      <c r="G62" s="156" t="s">
        <v>551</v>
      </c>
      <c r="H62" s="156" t="s">
        <v>1318</v>
      </c>
      <c r="I62" s="157" t="s">
        <v>914</v>
      </c>
      <c r="J62" s="156" t="b">
        <v>1</v>
      </c>
      <c r="K62" s="156" t="b">
        <v>0</v>
      </c>
      <c r="L62" s="156" t="b">
        <v>0</v>
      </c>
      <c r="M62" s="156" t="b">
        <v>0</v>
      </c>
      <c r="N62" s="156"/>
      <c r="O62" s="156" t="s">
        <v>915</v>
      </c>
      <c r="P62" s="156" t="s">
        <v>2424</v>
      </c>
      <c r="Q62" s="156"/>
      <c r="R62" s="156" t="s">
        <v>916</v>
      </c>
      <c r="S62" s="157" t="s">
        <v>917</v>
      </c>
      <c r="T62" s="157" t="s">
        <v>926</v>
      </c>
      <c r="U62" s="157" t="s">
        <v>552</v>
      </c>
      <c r="V62" s="157" t="s">
        <v>917</v>
      </c>
      <c r="W62" s="157" t="s">
        <v>926</v>
      </c>
      <c r="X62" s="156" t="b">
        <v>0</v>
      </c>
      <c r="Y62" s="156" t="b">
        <v>0</v>
      </c>
      <c r="Z62" s="156" t="b">
        <v>0</v>
      </c>
      <c r="AA62" s="156" t="b">
        <v>0</v>
      </c>
      <c r="AB62" s="156"/>
      <c r="AC62" s="156" t="s">
        <v>927</v>
      </c>
      <c r="AD62" s="156" t="s">
        <v>928</v>
      </c>
      <c r="AE62" s="156" t="s">
        <v>929</v>
      </c>
      <c r="AF62" s="158" t="s">
        <v>915</v>
      </c>
      <c r="AG62" s="156"/>
      <c r="AH62" s="158"/>
      <c r="AI62" s="158"/>
      <c r="AJ62" s="158"/>
      <c r="AK62" s="158"/>
      <c r="AL62" s="158"/>
      <c r="AM62" s="158"/>
      <c r="AN62" s="158"/>
      <c r="AO62" s="158"/>
      <c r="AP62" s="158"/>
      <c r="AQ62" s="158"/>
      <c r="AR62" s="158"/>
      <c r="AS62" s="158"/>
      <c r="AT62" s="158"/>
      <c r="AU62" s="158"/>
    </row>
    <row r="63" spans="3:47" s="1" customFormat="1" x14ac:dyDescent="0.25">
      <c r="C63" s="155">
        <v>59</v>
      </c>
      <c r="D63" s="156" t="s">
        <v>828</v>
      </c>
      <c r="E63" s="156" t="s">
        <v>1307</v>
      </c>
      <c r="F63" s="156" t="s">
        <v>2388</v>
      </c>
      <c r="G63" s="156" t="s">
        <v>551</v>
      </c>
      <c r="H63" s="156" t="s">
        <v>1318</v>
      </c>
      <c r="I63" s="157" t="s">
        <v>2712</v>
      </c>
      <c r="J63" s="156" t="b">
        <v>1</v>
      </c>
      <c r="K63" s="156" t="b">
        <v>0</v>
      </c>
      <c r="L63" s="156" t="b">
        <v>0</v>
      </c>
      <c r="M63" s="156" t="b">
        <v>0</v>
      </c>
      <c r="N63" s="156"/>
      <c r="O63" s="156" t="s">
        <v>2713</v>
      </c>
      <c r="P63" s="156" t="s">
        <v>2424</v>
      </c>
      <c r="Q63" s="156"/>
      <c r="R63" s="156" t="s">
        <v>2578</v>
      </c>
      <c r="S63" s="157" t="s">
        <v>2714</v>
      </c>
      <c r="T63" s="157" t="s">
        <v>2715</v>
      </c>
      <c r="U63" s="157" t="s">
        <v>552</v>
      </c>
      <c r="V63" s="157" t="s">
        <v>2714</v>
      </c>
      <c r="W63" s="157" t="s">
        <v>2715</v>
      </c>
      <c r="X63" s="156" t="b">
        <v>0</v>
      </c>
      <c r="Y63" s="156" t="b">
        <v>0</v>
      </c>
      <c r="Z63" s="156" t="b">
        <v>0</v>
      </c>
      <c r="AA63" s="156" t="b">
        <v>0</v>
      </c>
      <c r="AB63" s="156"/>
      <c r="AC63" s="156" t="s">
        <v>2716</v>
      </c>
      <c r="AD63" s="156" t="s">
        <v>2342</v>
      </c>
      <c r="AE63" s="156" t="s">
        <v>651</v>
      </c>
      <c r="AF63" s="158" t="s">
        <v>651</v>
      </c>
      <c r="AG63" s="156"/>
      <c r="AH63" s="158"/>
      <c r="AI63" s="158"/>
      <c r="AJ63" s="158"/>
      <c r="AK63" s="158"/>
      <c r="AL63" s="158"/>
      <c r="AM63" s="158"/>
      <c r="AN63" s="158"/>
      <c r="AO63" s="158"/>
      <c r="AP63" s="158"/>
      <c r="AQ63" s="158"/>
      <c r="AR63" s="158"/>
      <c r="AS63" s="158"/>
      <c r="AT63" s="158"/>
      <c r="AU63" s="158"/>
    </row>
    <row r="64" spans="3:47" s="1" customFormat="1" x14ac:dyDescent="0.25">
      <c r="C64" s="155">
        <v>60</v>
      </c>
      <c r="D64" s="156" t="s">
        <v>828</v>
      </c>
      <c r="E64" s="156" t="s">
        <v>1307</v>
      </c>
      <c r="F64" s="156" t="s">
        <v>81</v>
      </c>
      <c r="G64" s="156" t="s">
        <v>551</v>
      </c>
      <c r="H64" s="156" t="s">
        <v>1430</v>
      </c>
      <c r="I64" s="157" t="s">
        <v>1431</v>
      </c>
      <c r="J64" s="156" t="b">
        <v>1</v>
      </c>
      <c r="K64" s="156" t="b">
        <v>0</v>
      </c>
      <c r="L64" s="156" t="b">
        <v>0</v>
      </c>
      <c r="M64" s="156" t="b">
        <v>0</v>
      </c>
      <c r="N64" s="156"/>
      <c r="O64" s="156" t="s">
        <v>1432</v>
      </c>
      <c r="P64" s="156" t="s">
        <v>2424</v>
      </c>
      <c r="Q64" s="156"/>
      <c r="R64" s="156" t="s">
        <v>561</v>
      </c>
      <c r="S64" s="157" t="s">
        <v>1433</v>
      </c>
      <c r="T64" s="157" t="s">
        <v>1434</v>
      </c>
      <c r="U64" s="157" t="s">
        <v>552</v>
      </c>
      <c r="V64" s="157" t="s">
        <v>1433</v>
      </c>
      <c r="W64" s="157" t="s">
        <v>1434</v>
      </c>
      <c r="X64" s="156" t="b">
        <v>0</v>
      </c>
      <c r="Y64" s="156" t="b">
        <v>0</v>
      </c>
      <c r="Z64" s="156" t="b">
        <v>0</v>
      </c>
      <c r="AA64" s="156" t="b">
        <v>0</v>
      </c>
      <c r="AB64" s="156"/>
      <c r="AC64" s="156" t="s">
        <v>1445</v>
      </c>
      <c r="AD64" s="156" t="s">
        <v>2343</v>
      </c>
      <c r="AE64" s="156" t="s">
        <v>1446</v>
      </c>
      <c r="AF64" s="158" t="s">
        <v>1452</v>
      </c>
      <c r="AG64" s="156"/>
      <c r="AH64" s="158"/>
      <c r="AI64" s="158"/>
      <c r="AJ64" s="158"/>
      <c r="AK64" s="158"/>
      <c r="AL64" s="158"/>
      <c r="AM64" s="158"/>
      <c r="AN64" s="158"/>
      <c r="AO64" s="158"/>
      <c r="AP64" s="158"/>
      <c r="AQ64" s="158"/>
      <c r="AR64" s="158"/>
      <c r="AS64" s="158"/>
      <c r="AT64" s="158"/>
      <c r="AU64" s="158"/>
    </row>
    <row r="65" spans="3:47" s="1" customFormat="1" x14ac:dyDescent="0.25">
      <c r="C65" s="155">
        <v>61</v>
      </c>
      <c r="D65" s="156" t="s">
        <v>817</v>
      </c>
      <c r="E65" s="156" t="s">
        <v>254</v>
      </c>
      <c r="F65" s="156" t="s">
        <v>2355</v>
      </c>
      <c r="G65" s="156" t="s">
        <v>551</v>
      </c>
      <c r="H65" s="156" t="s">
        <v>383</v>
      </c>
      <c r="I65" s="157" t="s">
        <v>1599</v>
      </c>
      <c r="J65" s="156" t="b">
        <v>1</v>
      </c>
      <c r="K65" s="156" t="b">
        <v>0</v>
      </c>
      <c r="L65" s="156" t="b">
        <v>0</v>
      </c>
      <c r="M65" s="156" t="b">
        <v>0</v>
      </c>
      <c r="N65" s="156"/>
      <c r="O65" s="156" t="s">
        <v>576</v>
      </c>
      <c r="P65" s="156" t="s">
        <v>2425</v>
      </c>
      <c r="Q65" s="156" t="s">
        <v>547</v>
      </c>
      <c r="R65" s="156" t="s">
        <v>255</v>
      </c>
      <c r="S65" s="157" t="s">
        <v>256</v>
      </c>
      <c r="T65" s="157" t="s">
        <v>257</v>
      </c>
      <c r="U65" s="157" t="s">
        <v>653</v>
      </c>
      <c r="V65" s="157" t="s">
        <v>256</v>
      </c>
      <c r="W65" s="157" t="s">
        <v>257</v>
      </c>
      <c r="X65" s="156" t="b">
        <v>0</v>
      </c>
      <c r="Y65" s="156" t="b">
        <v>0</v>
      </c>
      <c r="Z65" s="156" t="b">
        <v>0</v>
      </c>
      <c r="AA65" s="156" t="b">
        <v>0</v>
      </c>
      <c r="AB65" s="156"/>
      <c r="AC65" s="156" t="s">
        <v>869</v>
      </c>
      <c r="AD65" s="156" t="s">
        <v>2343</v>
      </c>
      <c r="AE65" s="156" t="s">
        <v>258</v>
      </c>
      <c r="AF65" s="158" t="s">
        <v>1798</v>
      </c>
      <c r="AG65" s="156"/>
      <c r="AH65" s="158"/>
      <c r="AI65" s="158"/>
      <c r="AJ65" s="158"/>
      <c r="AK65" s="158"/>
      <c r="AL65" s="158"/>
      <c r="AM65" s="158"/>
      <c r="AN65" s="158"/>
      <c r="AO65" s="158"/>
      <c r="AP65" s="158"/>
      <c r="AQ65" s="158"/>
      <c r="AR65" s="158"/>
      <c r="AS65" s="158"/>
      <c r="AT65" s="158"/>
      <c r="AU65" s="158"/>
    </row>
    <row r="66" spans="3:47" s="1" customFormat="1" x14ac:dyDescent="0.25">
      <c r="C66" s="155">
        <v>62</v>
      </c>
      <c r="D66" s="156" t="s">
        <v>259</v>
      </c>
      <c r="E66" s="156" t="s">
        <v>260</v>
      </c>
      <c r="F66" s="156" t="s">
        <v>2355</v>
      </c>
      <c r="G66" s="156" t="s">
        <v>551</v>
      </c>
      <c r="H66" s="156" t="s">
        <v>383</v>
      </c>
      <c r="I66" s="157" t="s">
        <v>261</v>
      </c>
      <c r="J66" s="156" t="b">
        <v>1</v>
      </c>
      <c r="K66" s="156" t="b">
        <v>0</v>
      </c>
      <c r="L66" s="156" t="b">
        <v>0</v>
      </c>
      <c r="M66" s="156" t="b">
        <v>0</v>
      </c>
      <c r="N66" s="156"/>
      <c r="O66" s="156" t="s">
        <v>576</v>
      </c>
      <c r="P66" s="156" t="s">
        <v>2424</v>
      </c>
      <c r="Q66" s="156" t="s">
        <v>547</v>
      </c>
      <c r="R66" s="156" t="s">
        <v>262</v>
      </c>
      <c r="S66" s="157" t="s">
        <v>256</v>
      </c>
      <c r="T66" s="157" t="s">
        <v>263</v>
      </c>
      <c r="U66" s="157" t="s">
        <v>653</v>
      </c>
      <c r="V66" s="157" t="s">
        <v>256</v>
      </c>
      <c r="W66" s="157" t="s">
        <v>263</v>
      </c>
      <c r="X66" s="156" t="b">
        <v>0</v>
      </c>
      <c r="Y66" s="156" t="b">
        <v>0</v>
      </c>
      <c r="Z66" s="156" t="b">
        <v>0</v>
      </c>
      <c r="AA66" s="156" t="b">
        <v>0</v>
      </c>
      <c r="AB66" s="156"/>
      <c r="AC66" s="156" t="s">
        <v>869</v>
      </c>
      <c r="AD66" s="156" t="s">
        <v>2343</v>
      </c>
      <c r="AE66" s="156" t="s">
        <v>264</v>
      </c>
      <c r="AF66" s="158" t="s">
        <v>1798</v>
      </c>
      <c r="AG66" s="156"/>
      <c r="AH66" s="158"/>
      <c r="AI66" s="158"/>
      <c r="AJ66" s="158"/>
      <c r="AK66" s="158"/>
      <c r="AL66" s="158"/>
      <c r="AM66" s="158"/>
      <c r="AN66" s="158"/>
      <c r="AO66" s="158"/>
      <c r="AP66" s="158"/>
      <c r="AQ66" s="158"/>
      <c r="AR66" s="158"/>
      <c r="AS66" s="158"/>
      <c r="AT66" s="158"/>
      <c r="AU66" s="158"/>
    </row>
    <row r="67" spans="3:47" s="1" customFormat="1" x14ac:dyDescent="0.25">
      <c r="C67" s="155">
        <v>63</v>
      </c>
      <c r="D67" s="156" t="s">
        <v>828</v>
      </c>
      <c r="E67" s="156" t="s">
        <v>1307</v>
      </c>
      <c r="F67" s="156" t="s">
        <v>2364</v>
      </c>
      <c r="G67" s="156" t="s">
        <v>551</v>
      </c>
      <c r="H67" s="156" t="s">
        <v>1928</v>
      </c>
      <c r="I67" s="157" t="s">
        <v>1929</v>
      </c>
      <c r="J67" s="156" t="b">
        <v>1</v>
      </c>
      <c r="K67" s="156" t="b">
        <v>0</v>
      </c>
      <c r="L67" s="156" t="b">
        <v>0</v>
      </c>
      <c r="M67" s="156" t="b">
        <v>0</v>
      </c>
      <c r="N67" s="156"/>
      <c r="O67" s="156" t="s">
        <v>1930</v>
      </c>
      <c r="P67" s="156" t="s">
        <v>67</v>
      </c>
      <c r="Q67" s="156" t="s">
        <v>1931</v>
      </c>
      <c r="R67" s="156" t="s">
        <v>561</v>
      </c>
      <c r="S67" s="157" t="s">
        <v>1932</v>
      </c>
      <c r="T67" s="157" t="s">
        <v>1933</v>
      </c>
      <c r="U67" s="157" t="s">
        <v>653</v>
      </c>
      <c r="V67" s="157" t="s">
        <v>1932</v>
      </c>
      <c r="W67" s="157" t="s">
        <v>1933</v>
      </c>
      <c r="X67" s="156" t="b">
        <v>0</v>
      </c>
      <c r="Y67" s="156" t="b">
        <v>0</v>
      </c>
      <c r="Z67" s="156" t="b">
        <v>0</v>
      </c>
      <c r="AA67" s="156" t="b">
        <v>0</v>
      </c>
      <c r="AB67" s="156"/>
      <c r="AC67" s="156" t="s">
        <v>132</v>
      </c>
      <c r="AD67" s="156" t="s">
        <v>2343</v>
      </c>
      <c r="AE67" s="156" t="s">
        <v>1934</v>
      </c>
      <c r="AF67" s="158" t="s">
        <v>1935</v>
      </c>
      <c r="AG67" s="156"/>
      <c r="AH67" s="158"/>
      <c r="AI67" s="158"/>
      <c r="AJ67" s="158"/>
      <c r="AK67" s="158"/>
      <c r="AL67" s="158"/>
      <c r="AM67" s="158"/>
      <c r="AN67" s="158"/>
      <c r="AO67" s="158"/>
      <c r="AP67" s="158"/>
      <c r="AQ67" s="158"/>
      <c r="AR67" s="158"/>
      <c r="AS67" s="158"/>
      <c r="AT67" s="158"/>
      <c r="AU67" s="158"/>
    </row>
    <row r="68" spans="3:47" s="1" customFormat="1" x14ac:dyDescent="0.25">
      <c r="C68" s="155">
        <v>64</v>
      </c>
      <c r="D68" s="156" t="s">
        <v>828</v>
      </c>
      <c r="E68" s="156" t="s">
        <v>1307</v>
      </c>
      <c r="F68" s="156" t="s">
        <v>2370</v>
      </c>
      <c r="G68" s="156" t="s">
        <v>551</v>
      </c>
      <c r="H68" s="156" t="s">
        <v>2426</v>
      </c>
      <c r="I68" s="157" t="s">
        <v>743</v>
      </c>
      <c r="J68" s="156" t="b">
        <v>1</v>
      </c>
      <c r="K68" s="156" t="b">
        <v>0</v>
      </c>
      <c r="L68" s="156" t="b">
        <v>0</v>
      </c>
      <c r="M68" s="156" t="b">
        <v>0</v>
      </c>
      <c r="N68" s="156"/>
      <c r="O68" s="156" t="s">
        <v>1999</v>
      </c>
      <c r="P68" s="156" t="s">
        <v>67</v>
      </c>
      <c r="Q68" s="156"/>
      <c r="R68" s="156" t="s">
        <v>744</v>
      </c>
      <c r="S68" s="157" t="s">
        <v>745</v>
      </c>
      <c r="T68" s="157" t="s">
        <v>746</v>
      </c>
      <c r="U68" s="157" t="s">
        <v>653</v>
      </c>
      <c r="V68" s="157" t="s">
        <v>745</v>
      </c>
      <c r="W68" s="157" t="s">
        <v>746</v>
      </c>
      <c r="X68" s="156" t="b">
        <v>0</v>
      </c>
      <c r="Y68" s="156" t="b">
        <v>0</v>
      </c>
      <c r="Z68" s="156" t="b">
        <v>0</v>
      </c>
      <c r="AA68" s="156" t="b">
        <v>0</v>
      </c>
      <c r="AB68" s="156"/>
      <c r="AC68" s="156" t="s">
        <v>747</v>
      </c>
      <c r="AD68" s="156" t="s">
        <v>2342</v>
      </c>
      <c r="AE68" s="156" t="s">
        <v>748</v>
      </c>
      <c r="AF68" s="158" t="s">
        <v>1619</v>
      </c>
      <c r="AG68" s="156"/>
      <c r="AH68" s="158"/>
      <c r="AI68" s="158"/>
      <c r="AJ68" s="158"/>
      <c r="AK68" s="158"/>
      <c r="AL68" s="158"/>
      <c r="AM68" s="158"/>
      <c r="AN68" s="158"/>
      <c r="AO68" s="158"/>
      <c r="AP68" s="158"/>
      <c r="AQ68" s="158"/>
      <c r="AR68" s="158"/>
      <c r="AS68" s="158"/>
      <c r="AT68" s="158"/>
      <c r="AU68" s="158"/>
    </row>
    <row r="69" spans="3:47" s="1" customFormat="1" x14ac:dyDescent="0.25">
      <c r="C69" s="155">
        <v>65</v>
      </c>
      <c r="D69" s="156" t="s">
        <v>828</v>
      </c>
      <c r="E69" s="156" t="s">
        <v>1307</v>
      </c>
      <c r="F69" s="156" t="s">
        <v>2401</v>
      </c>
      <c r="G69" s="156" t="s">
        <v>551</v>
      </c>
      <c r="H69" s="156" t="s">
        <v>2723</v>
      </c>
      <c r="I69" s="157" t="s">
        <v>1204</v>
      </c>
      <c r="J69" s="156" t="b">
        <v>1</v>
      </c>
      <c r="K69" s="156" t="b">
        <v>0</v>
      </c>
      <c r="L69" s="156" t="b">
        <v>0</v>
      </c>
      <c r="M69" s="156" t="b">
        <v>0</v>
      </c>
      <c r="N69" s="156"/>
      <c r="O69" s="156" t="s">
        <v>1205</v>
      </c>
      <c r="P69" s="156" t="s">
        <v>2425</v>
      </c>
      <c r="Q69" s="156"/>
      <c r="R69" s="156" t="s">
        <v>2427</v>
      </c>
      <c r="S69" s="157" t="s">
        <v>1206</v>
      </c>
      <c r="T69" s="157" t="s">
        <v>1207</v>
      </c>
      <c r="U69" s="157" t="s">
        <v>655</v>
      </c>
      <c r="V69" s="157" t="s">
        <v>1206</v>
      </c>
      <c r="W69" s="157" t="s">
        <v>1207</v>
      </c>
      <c r="X69" s="156" t="b">
        <v>0</v>
      </c>
      <c r="Y69" s="156" t="b">
        <v>0</v>
      </c>
      <c r="Z69" s="156" t="b">
        <v>0</v>
      </c>
      <c r="AA69" s="156" t="b">
        <v>0</v>
      </c>
      <c r="AB69" s="156"/>
      <c r="AC69" s="156" t="s">
        <v>1208</v>
      </c>
      <c r="AD69" s="156" t="s">
        <v>2350</v>
      </c>
      <c r="AE69" s="156" t="s">
        <v>1209</v>
      </c>
      <c r="AF69" s="158" t="s">
        <v>1210</v>
      </c>
      <c r="AG69" s="156"/>
      <c r="AH69" s="158"/>
      <c r="AI69" s="158"/>
      <c r="AJ69" s="158"/>
      <c r="AK69" s="158"/>
      <c r="AL69" s="158"/>
      <c r="AM69" s="158"/>
      <c r="AN69" s="158"/>
      <c r="AO69" s="158"/>
      <c r="AP69" s="158"/>
      <c r="AQ69" s="158"/>
      <c r="AR69" s="158"/>
      <c r="AS69" s="158"/>
      <c r="AT69" s="158"/>
      <c r="AU69" s="158"/>
    </row>
    <row r="70" spans="3:47" s="1" customFormat="1" x14ac:dyDescent="0.25">
      <c r="C70" s="155">
        <v>66</v>
      </c>
      <c r="D70" s="156" t="s">
        <v>828</v>
      </c>
      <c r="E70" s="156" t="s">
        <v>1307</v>
      </c>
      <c r="F70" s="156" t="s">
        <v>2356</v>
      </c>
      <c r="G70" s="156" t="s">
        <v>551</v>
      </c>
      <c r="H70" s="156" t="s">
        <v>5</v>
      </c>
      <c r="I70" s="157" t="s">
        <v>6</v>
      </c>
      <c r="J70" s="156" t="b">
        <v>1</v>
      </c>
      <c r="K70" s="156" t="b">
        <v>0</v>
      </c>
      <c r="L70" s="156" t="b">
        <v>0</v>
      </c>
      <c r="M70" s="156" t="b">
        <v>0</v>
      </c>
      <c r="N70" s="156"/>
      <c r="O70" s="156" t="s">
        <v>7</v>
      </c>
      <c r="P70" s="156" t="s">
        <v>2424</v>
      </c>
      <c r="Q70" s="156"/>
      <c r="R70" s="156" t="s">
        <v>8</v>
      </c>
      <c r="S70" s="157" t="s">
        <v>9</v>
      </c>
      <c r="T70" s="157" t="s">
        <v>10</v>
      </c>
      <c r="U70" s="157" t="s">
        <v>653</v>
      </c>
      <c r="V70" s="157" t="s">
        <v>9</v>
      </c>
      <c r="W70" s="157" t="s">
        <v>10</v>
      </c>
      <c r="X70" s="156" t="b">
        <v>0</v>
      </c>
      <c r="Y70" s="156" t="b">
        <v>0</v>
      </c>
      <c r="Z70" s="156" t="b">
        <v>0</v>
      </c>
      <c r="AA70" s="156" t="b">
        <v>0</v>
      </c>
      <c r="AB70" s="156"/>
      <c r="AC70" s="156" t="s">
        <v>11</v>
      </c>
      <c r="AD70" s="156" t="s">
        <v>2350</v>
      </c>
      <c r="AE70" s="156" t="s">
        <v>12</v>
      </c>
      <c r="AF70" s="158" t="s">
        <v>13</v>
      </c>
      <c r="AG70" s="156"/>
      <c r="AH70" s="158"/>
      <c r="AI70" s="158"/>
      <c r="AJ70" s="158"/>
      <c r="AK70" s="158"/>
      <c r="AL70" s="158"/>
      <c r="AM70" s="158"/>
      <c r="AN70" s="158"/>
      <c r="AO70" s="158"/>
      <c r="AP70" s="158"/>
      <c r="AQ70" s="158"/>
      <c r="AR70" s="158"/>
      <c r="AS70" s="158"/>
      <c r="AT70" s="158"/>
      <c r="AU70" s="158"/>
    </row>
    <row r="71" spans="3:47" s="1" customFormat="1" x14ac:dyDescent="0.25">
      <c r="C71" s="155">
        <v>67</v>
      </c>
      <c r="D71" s="156" t="s">
        <v>828</v>
      </c>
      <c r="E71" s="156" t="s">
        <v>1307</v>
      </c>
      <c r="F71" s="156" t="s">
        <v>2357</v>
      </c>
      <c r="G71" s="156" t="s">
        <v>551</v>
      </c>
      <c r="H71" s="156" t="s">
        <v>1318</v>
      </c>
      <c r="I71" s="157" t="s">
        <v>478</v>
      </c>
      <c r="J71" s="156" t="b">
        <v>1</v>
      </c>
      <c r="K71" s="156" t="b">
        <v>0</v>
      </c>
      <c r="L71" s="156" t="b">
        <v>0</v>
      </c>
      <c r="M71" s="156" t="b">
        <v>0</v>
      </c>
      <c r="N71" s="156"/>
      <c r="O71" s="156" t="s">
        <v>479</v>
      </c>
      <c r="P71" s="156" t="s">
        <v>2424</v>
      </c>
      <c r="Q71" s="156"/>
      <c r="R71" s="156" t="s">
        <v>480</v>
      </c>
      <c r="S71" s="157" t="s">
        <v>481</v>
      </c>
      <c r="T71" s="157" t="s">
        <v>482</v>
      </c>
      <c r="U71" s="157" t="s">
        <v>552</v>
      </c>
      <c r="V71" s="157" t="s">
        <v>481</v>
      </c>
      <c r="W71" s="157" t="s">
        <v>482</v>
      </c>
      <c r="X71" s="156" t="b">
        <v>0</v>
      </c>
      <c r="Y71" s="156" t="b">
        <v>0</v>
      </c>
      <c r="Z71" s="156" t="b">
        <v>0</v>
      </c>
      <c r="AA71" s="156" t="b">
        <v>0</v>
      </c>
      <c r="AB71" s="156"/>
      <c r="AC71" s="156" t="s">
        <v>483</v>
      </c>
      <c r="AD71" s="156" t="s">
        <v>2342</v>
      </c>
      <c r="AE71" s="156" t="s">
        <v>484</v>
      </c>
      <c r="AF71" s="158" t="s">
        <v>1672</v>
      </c>
      <c r="AG71" s="156"/>
      <c r="AH71" s="158"/>
      <c r="AI71" s="158"/>
      <c r="AJ71" s="158"/>
      <c r="AK71" s="158"/>
      <c r="AL71" s="158"/>
      <c r="AM71" s="158"/>
      <c r="AN71" s="158"/>
      <c r="AO71" s="158"/>
      <c r="AP71" s="158"/>
      <c r="AQ71" s="158"/>
      <c r="AR71" s="158"/>
      <c r="AS71" s="158"/>
      <c r="AT71" s="158"/>
      <c r="AU71" s="158"/>
    </row>
    <row r="72" spans="3:47" s="1" customFormat="1" x14ac:dyDescent="0.25">
      <c r="C72" s="155">
        <v>68</v>
      </c>
      <c r="D72" s="156" t="s">
        <v>828</v>
      </c>
      <c r="E72" s="156" t="s">
        <v>1307</v>
      </c>
      <c r="F72" s="156" t="s">
        <v>2357</v>
      </c>
      <c r="G72" s="156" t="s">
        <v>551</v>
      </c>
      <c r="H72" s="156" t="s">
        <v>918</v>
      </c>
      <c r="I72" s="157" t="s">
        <v>919</v>
      </c>
      <c r="J72" s="156" t="b">
        <v>1</v>
      </c>
      <c r="K72" s="156" t="b">
        <v>0</v>
      </c>
      <c r="L72" s="156" t="b">
        <v>0</v>
      </c>
      <c r="M72" s="156" t="b">
        <v>0</v>
      </c>
      <c r="N72" s="156"/>
      <c r="O72" s="156" t="s">
        <v>920</v>
      </c>
      <c r="P72" s="156" t="s">
        <v>2424</v>
      </c>
      <c r="Q72" s="156"/>
      <c r="R72" s="156" t="s">
        <v>921</v>
      </c>
      <c r="S72" s="157" t="s">
        <v>922</v>
      </c>
      <c r="T72" s="157" t="s">
        <v>923</v>
      </c>
      <c r="U72" s="157" t="s">
        <v>552</v>
      </c>
      <c r="V72" s="157" t="s">
        <v>922</v>
      </c>
      <c r="W72" s="157" t="s">
        <v>923</v>
      </c>
      <c r="X72" s="156" t="b">
        <v>0</v>
      </c>
      <c r="Y72" s="156" t="b">
        <v>0</v>
      </c>
      <c r="Z72" s="156" t="b">
        <v>0</v>
      </c>
      <c r="AA72" s="156" t="b">
        <v>0</v>
      </c>
      <c r="AB72" s="156"/>
      <c r="AC72" s="156" t="s">
        <v>483</v>
      </c>
      <c r="AD72" s="156" t="s">
        <v>651</v>
      </c>
      <c r="AE72" s="156" t="s">
        <v>924</v>
      </c>
      <c r="AF72" s="158" t="s">
        <v>925</v>
      </c>
      <c r="AG72" s="156"/>
      <c r="AH72" s="158"/>
      <c r="AI72" s="158"/>
      <c r="AJ72" s="158"/>
      <c r="AK72" s="158"/>
      <c r="AL72" s="158"/>
      <c r="AM72" s="158"/>
      <c r="AN72" s="158"/>
      <c r="AO72" s="158"/>
      <c r="AP72" s="158"/>
      <c r="AQ72" s="158"/>
      <c r="AR72" s="158"/>
      <c r="AS72" s="158"/>
      <c r="AT72" s="158"/>
      <c r="AU72" s="158"/>
    </row>
    <row r="73" spans="3:47" s="1" customFormat="1" x14ac:dyDescent="0.25">
      <c r="C73" s="155">
        <v>69</v>
      </c>
      <c r="D73" s="156" t="s">
        <v>828</v>
      </c>
      <c r="E73" s="156" t="s">
        <v>1307</v>
      </c>
      <c r="F73" s="156" t="s">
        <v>73</v>
      </c>
      <c r="G73" s="156" t="s">
        <v>551</v>
      </c>
      <c r="H73" s="156" t="s">
        <v>1344</v>
      </c>
      <c r="I73" s="157" t="s">
        <v>1345</v>
      </c>
      <c r="J73" s="156" t="b">
        <v>1</v>
      </c>
      <c r="K73" s="156" t="b">
        <v>0</v>
      </c>
      <c r="L73" s="156" t="b">
        <v>0</v>
      </c>
      <c r="M73" s="156" t="b">
        <v>0</v>
      </c>
      <c r="N73" s="156"/>
      <c r="O73" s="156" t="s">
        <v>576</v>
      </c>
      <c r="P73" s="156" t="s">
        <v>2424</v>
      </c>
      <c r="Q73" s="156"/>
      <c r="R73" s="156" t="s">
        <v>1346</v>
      </c>
      <c r="S73" s="157" t="s">
        <v>1347</v>
      </c>
      <c r="T73" s="157" t="s">
        <v>1354</v>
      </c>
      <c r="U73" s="157" t="s">
        <v>552</v>
      </c>
      <c r="V73" s="157" t="s">
        <v>1347</v>
      </c>
      <c r="W73" s="157" t="s">
        <v>1354</v>
      </c>
      <c r="X73" s="156" t="b">
        <v>0</v>
      </c>
      <c r="Y73" s="156" t="b">
        <v>0</v>
      </c>
      <c r="Z73" s="156" t="b">
        <v>0</v>
      </c>
      <c r="AA73" s="156" t="b">
        <v>0</v>
      </c>
      <c r="AB73" s="156"/>
      <c r="AC73" s="156" t="s">
        <v>1355</v>
      </c>
      <c r="AD73" s="156" t="s">
        <v>2342</v>
      </c>
      <c r="AE73" s="156" t="s">
        <v>1366</v>
      </c>
      <c r="AF73" s="158" t="s">
        <v>1798</v>
      </c>
      <c r="AG73" s="156"/>
      <c r="AH73" s="158"/>
      <c r="AI73" s="158"/>
      <c r="AJ73" s="158"/>
      <c r="AK73" s="158"/>
      <c r="AL73" s="158"/>
      <c r="AM73" s="158"/>
      <c r="AN73" s="158"/>
      <c r="AO73" s="158"/>
      <c r="AP73" s="158"/>
      <c r="AQ73" s="158"/>
      <c r="AR73" s="158"/>
      <c r="AS73" s="158"/>
      <c r="AT73" s="158"/>
      <c r="AU73" s="158"/>
    </row>
    <row r="74" spans="3:47" s="1" customFormat="1" x14ac:dyDescent="0.25">
      <c r="C74" s="155">
        <v>70</v>
      </c>
      <c r="D74" s="156" t="s">
        <v>828</v>
      </c>
      <c r="E74" s="156" t="s">
        <v>1307</v>
      </c>
      <c r="F74" s="156" t="s">
        <v>73</v>
      </c>
      <c r="G74" s="156" t="s">
        <v>551</v>
      </c>
      <c r="H74" s="156" t="s">
        <v>1344</v>
      </c>
      <c r="I74" s="157" t="s">
        <v>1367</v>
      </c>
      <c r="J74" s="156" t="b">
        <v>1</v>
      </c>
      <c r="K74" s="156" t="b">
        <v>0</v>
      </c>
      <c r="L74" s="156" t="b">
        <v>0</v>
      </c>
      <c r="M74" s="156" t="b">
        <v>0</v>
      </c>
      <c r="N74" s="156"/>
      <c r="O74" s="156" t="s">
        <v>576</v>
      </c>
      <c r="P74" s="156" t="s">
        <v>2424</v>
      </c>
      <c r="Q74" s="156"/>
      <c r="R74" s="156" t="s">
        <v>1346</v>
      </c>
      <c r="S74" s="157" t="s">
        <v>1347</v>
      </c>
      <c r="T74" s="157" t="s">
        <v>1368</v>
      </c>
      <c r="U74" s="157" t="s">
        <v>552</v>
      </c>
      <c r="V74" s="157" t="s">
        <v>1347</v>
      </c>
      <c r="W74" s="157" t="s">
        <v>1368</v>
      </c>
      <c r="X74" s="156" t="b">
        <v>0</v>
      </c>
      <c r="Y74" s="156" t="b">
        <v>0</v>
      </c>
      <c r="Z74" s="156" t="b">
        <v>0</v>
      </c>
      <c r="AA74" s="156" t="b">
        <v>0</v>
      </c>
      <c r="AB74" s="156"/>
      <c r="AC74" s="156" t="s">
        <v>1369</v>
      </c>
      <c r="AD74" s="156" t="s">
        <v>2342</v>
      </c>
      <c r="AE74" s="156" t="s">
        <v>1366</v>
      </c>
      <c r="AF74" s="158" t="s">
        <v>1798</v>
      </c>
      <c r="AG74" s="156"/>
      <c r="AH74" s="158"/>
      <c r="AI74" s="158"/>
      <c r="AJ74" s="158"/>
      <c r="AK74" s="158"/>
      <c r="AL74" s="158"/>
      <c r="AM74" s="158"/>
      <c r="AN74" s="158"/>
      <c r="AO74" s="158"/>
      <c r="AP74" s="158"/>
      <c r="AQ74" s="158"/>
      <c r="AR74" s="158"/>
      <c r="AS74" s="158"/>
      <c r="AT74" s="158"/>
      <c r="AU74" s="158"/>
    </row>
    <row r="75" spans="3:47" s="1" customFormat="1" x14ac:dyDescent="0.25">
      <c r="C75" s="155">
        <v>71</v>
      </c>
      <c r="D75" s="156" t="s">
        <v>828</v>
      </c>
      <c r="E75" s="156" t="s">
        <v>1307</v>
      </c>
      <c r="F75" s="156" t="s">
        <v>73</v>
      </c>
      <c r="G75" s="156" t="s">
        <v>551</v>
      </c>
      <c r="H75" s="156" t="s">
        <v>224</v>
      </c>
      <c r="I75" s="157" t="s">
        <v>1632</v>
      </c>
      <c r="J75" s="156" t="b">
        <v>1</v>
      </c>
      <c r="K75" s="156" t="b">
        <v>0</v>
      </c>
      <c r="L75" s="156" t="b">
        <v>0</v>
      </c>
      <c r="M75" s="156" t="b">
        <v>0</v>
      </c>
      <c r="N75" s="156"/>
      <c r="O75" s="156" t="s">
        <v>576</v>
      </c>
      <c r="P75" s="156" t="s">
        <v>2424</v>
      </c>
      <c r="Q75" s="156"/>
      <c r="R75" s="156" t="s">
        <v>1810</v>
      </c>
      <c r="S75" s="157" t="s">
        <v>1811</v>
      </c>
      <c r="T75" s="157" t="s">
        <v>1635</v>
      </c>
      <c r="U75" s="157" t="s">
        <v>552</v>
      </c>
      <c r="V75" s="157" t="s">
        <v>1811</v>
      </c>
      <c r="W75" s="157" t="s">
        <v>1635</v>
      </c>
      <c r="X75" s="156" t="b">
        <v>0</v>
      </c>
      <c r="Y75" s="156" t="b">
        <v>0</v>
      </c>
      <c r="Z75" s="156" t="b">
        <v>0</v>
      </c>
      <c r="AA75" s="156" t="b">
        <v>0</v>
      </c>
      <c r="AB75" s="156"/>
      <c r="AC75" s="156" t="s">
        <v>1812</v>
      </c>
      <c r="AD75" s="156" t="s">
        <v>2350</v>
      </c>
      <c r="AE75" s="156" t="s">
        <v>1813</v>
      </c>
      <c r="AF75" s="158" t="s">
        <v>1798</v>
      </c>
      <c r="AG75" s="156"/>
      <c r="AH75" s="158"/>
      <c r="AI75" s="158"/>
      <c r="AJ75" s="158"/>
      <c r="AK75" s="158"/>
      <c r="AL75" s="158"/>
      <c r="AM75" s="158"/>
      <c r="AN75" s="158"/>
      <c r="AO75" s="158"/>
      <c r="AP75" s="158"/>
      <c r="AQ75" s="158"/>
      <c r="AR75" s="158"/>
      <c r="AS75" s="158"/>
      <c r="AT75" s="158"/>
      <c r="AU75" s="158"/>
    </row>
    <row r="76" spans="3:47" s="1" customFormat="1" x14ac:dyDescent="0.25">
      <c r="C76" s="155">
        <v>72</v>
      </c>
      <c r="D76" s="156" t="s">
        <v>828</v>
      </c>
      <c r="E76" s="156" t="s">
        <v>1307</v>
      </c>
      <c r="F76" s="156" t="s">
        <v>2358</v>
      </c>
      <c r="G76" s="156" t="s">
        <v>551</v>
      </c>
      <c r="H76" s="156" t="s">
        <v>577</v>
      </c>
      <c r="I76" s="157" t="s">
        <v>578</v>
      </c>
      <c r="J76" s="156" t="b">
        <v>1</v>
      </c>
      <c r="K76" s="156" t="b">
        <v>0</v>
      </c>
      <c r="L76" s="156" t="b">
        <v>0</v>
      </c>
      <c r="M76" s="156" t="b">
        <v>0</v>
      </c>
      <c r="N76" s="156"/>
      <c r="O76" s="156" t="s">
        <v>579</v>
      </c>
      <c r="P76" s="156" t="s">
        <v>2424</v>
      </c>
      <c r="Q76" s="156"/>
      <c r="R76" s="156" t="s">
        <v>580</v>
      </c>
      <c r="S76" s="157" t="s">
        <v>581</v>
      </c>
      <c r="T76" s="157" t="s">
        <v>582</v>
      </c>
      <c r="U76" s="157" t="s">
        <v>653</v>
      </c>
      <c r="V76" s="157" t="s">
        <v>581</v>
      </c>
      <c r="W76" s="157" t="s">
        <v>582</v>
      </c>
      <c r="X76" s="156" t="b">
        <v>0</v>
      </c>
      <c r="Y76" s="156" t="b">
        <v>0</v>
      </c>
      <c r="Z76" s="156" t="b">
        <v>0</v>
      </c>
      <c r="AA76" s="156" t="b">
        <v>0</v>
      </c>
      <c r="AB76" s="156"/>
      <c r="AC76" s="156" t="s">
        <v>583</v>
      </c>
      <c r="AD76" s="156" t="s">
        <v>2345</v>
      </c>
      <c r="AE76" s="156" t="s">
        <v>584</v>
      </c>
      <c r="AF76" s="158" t="s">
        <v>1641</v>
      </c>
      <c r="AG76" s="156"/>
      <c r="AH76" s="158"/>
      <c r="AI76" s="158"/>
      <c r="AJ76" s="158"/>
      <c r="AK76" s="158"/>
      <c r="AL76" s="158"/>
      <c r="AM76" s="158"/>
      <c r="AN76" s="158"/>
      <c r="AO76" s="158"/>
      <c r="AP76" s="158"/>
      <c r="AQ76" s="158"/>
      <c r="AR76" s="158"/>
      <c r="AS76" s="158"/>
      <c r="AT76" s="158"/>
      <c r="AU76" s="158"/>
    </row>
    <row r="77" spans="3:47" s="1" customFormat="1" x14ac:dyDescent="0.25">
      <c r="C77" s="155">
        <v>73</v>
      </c>
      <c r="D77" s="156" t="s">
        <v>828</v>
      </c>
      <c r="E77" s="156" t="s">
        <v>1307</v>
      </c>
      <c r="F77" s="156" t="s">
        <v>2360</v>
      </c>
      <c r="G77" s="156" t="s">
        <v>551</v>
      </c>
      <c r="H77" s="156" t="s">
        <v>224</v>
      </c>
      <c r="I77" s="157" t="s">
        <v>2309</v>
      </c>
      <c r="J77" s="156" t="b">
        <v>1</v>
      </c>
      <c r="K77" s="156" t="b">
        <v>0</v>
      </c>
      <c r="L77" s="156" t="b">
        <v>0</v>
      </c>
      <c r="M77" s="156" t="b">
        <v>0</v>
      </c>
      <c r="N77" s="156"/>
      <c r="O77" s="156" t="s">
        <v>2310</v>
      </c>
      <c r="P77" s="156" t="s">
        <v>64</v>
      </c>
      <c r="Q77" s="156" t="s">
        <v>2311</v>
      </c>
      <c r="R77" s="156"/>
      <c r="S77" s="157" t="s">
        <v>2312</v>
      </c>
      <c r="T77" s="157" t="s">
        <v>2313</v>
      </c>
      <c r="U77" s="157" t="s">
        <v>651</v>
      </c>
      <c r="V77" s="157" t="s">
        <v>2312</v>
      </c>
      <c r="W77" s="157" t="s">
        <v>2313</v>
      </c>
      <c r="X77" s="156" t="b">
        <v>0</v>
      </c>
      <c r="Y77" s="156" t="b">
        <v>0</v>
      </c>
      <c r="Z77" s="156" t="b">
        <v>0</v>
      </c>
      <c r="AA77" s="156" t="b">
        <v>0</v>
      </c>
      <c r="AB77" s="156"/>
      <c r="AC77" s="156" t="s">
        <v>2004</v>
      </c>
      <c r="AD77" s="156" t="s">
        <v>2314</v>
      </c>
      <c r="AE77" s="156" t="s">
        <v>2315</v>
      </c>
      <c r="AF77" s="158" t="s">
        <v>2316</v>
      </c>
      <c r="AG77" s="156"/>
      <c r="AH77" s="158"/>
      <c r="AI77" s="158"/>
      <c r="AJ77" s="158"/>
      <c r="AK77" s="158"/>
      <c r="AL77" s="158"/>
      <c r="AM77" s="158"/>
      <c r="AN77" s="158"/>
      <c r="AO77" s="158"/>
      <c r="AP77" s="158"/>
      <c r="AQ77" s="158"/>
      <c r="AR77" s="158"/>
      <c r="AS77" s="158"/>
      <c r="AT77" s="158"/>
      <c r="AU77" s="158"/>
    </row>
    <row r="78" spans="3:47" s="1" customFormat="1" x14ac:dyDescent="0.25">
      <c r="C78" s="155">
        <v>74</v>
      </c>
      <c r="D78" s="156" t="s">
        <v>828</v>
      </c>
      <c r="E78" s="156" t="s">
        <v>1307</v>
      </c>
      <c r="F78" s="156" t="s">
        <v>2356</v>
      </c>
      <c r="G78" s="156" t="s">
        <v>551</v>
      </c>
      <c r="H78" s="156" t="s">
        <v>575</v>
      </c>
      <c r="I78" s="157" t="s">
        <v>1027</v>
      </c>
      <c r="J78" s="156" t="b">
        <v>1</v>
      </c>
      <c r="K78" s="156" t="b">
        <v>0</v>
      </c>
      <c r="L78" s="156" t="b">
        <v>0</v>
      </c>
      <c r="M78" s="156" t="b">
        <v>0</v>
      </c>
      <c r="N78" s="156"/>
      <c r="O78" s="156" t="s">
        <v>1139</v>
      </c>
      <c r="P78" s="156" t="s">
        <v>2424</v>
      </c>
      <c r="Q78" s="156"/>
      <c r="R78" s="156" t="s">
        <v>1028</v>
      </c>
      <c r="S78" s="157" t="s">
        <v>1029</v>
      </c>
      <c r="T78" s="157" t="s">
        <v>1030</v>
      </c>
      <c r="U78" s="157" t="s">
        <v>655</v>
      </c>
      <c r="V78" s="157" t="s">
        <v>1029</v>
      </c>
      <c r="W78" s="157" t="s">
        <v>1030</v>
      </c>
      <c r="X78" s="156" t="b">
        <v>0</v>
      </c>
      <c r="Y78" s="156" t="b">
        <v>0</v>
      </c>
      <c r="Z78" s="156" t="b">
        <v>0</v>
      </c>
      <c r="AA78" s="156" t="b">
        <v>0</v>
      </c>
      <c r="AB78" s="156"/>
      <c r="AC78" s="156" t="s">
        <v>1031</v>
      </c>
      <c r="AD78" s="156" t="s">
        <v>2350</v>
      </c>
      <c r="AE78" s="156" t="s">
        <v>1032</v>
      </c>
      <c r="AF78" s="158" t="s">
        <v>1754</v>
      </c>
      <c r="AG78" s="156"/>
      <c r="AH78" s="158"/>
      <c r="AI78" s="158"/>
      <c r="AJ78" s="158"/>
      <c r="AK78" s="158"/>
      <c r="AL78" s="158"/>
      <c r="AM78" s="158"/>
      <c r="AN78" s="158"/>
      <c r="AO78" s="158"/>
      <c r="AP78" s="158"/>
      <c r="AQ78" s="158"/>
      <c r="AR78" s="158"/>
      <c r="AS78" s="158"/>
      <c r="AT78" s="158"/>
      <c r="AU78" s="158"/>
    </row>
    <row r="79" spans="3:47" s="1" customFormat="1" x14ac:dyDescent="0.25">
      <c r="C79" s="155">
        <v>75</v>
      </c>
      <c r="D79" s="156" t="s">
        <v>828</v>
      </c>
      <c r="E79" s="156" t="s">
        <v>1307</v>
      </c>
      <c r="F79" s="156" t="s">
        <v>2388</v>
      </c>
      <c r="G79" s="156" t="s">
        <v>551</v>
      </c>
      <c r="H79" s="156"/>
      <c r="I79" s="157" t="s">
        <v>1414</v>
      </c>
      <c r="J79" s="156" t="b">
        <v>1</v>
      </c>
      <c r="K79" s="156" t="b">
        <v>0</v>
      </c>
      <c r="L79" s="156" t="b">
        <v>0</v>
      </c>
      <c r="M79" s="156" t="b">
        <v>0</v>
      </c>
      <c r="N79" s="156"/>
      <c r="O79" s="156" t="s">
        <v>1827</v>
      </c>
      <c r="P79" s="156" t="s">
        <v>2424</v>
      </c>
      <c r="Q79" s="156"/>
      <c r="R79" s="156" t="s">
        <v>2427</v>
      </c>
      <c r="S79" s="157" t="s">
        <v>1415</v>
      </c>
      <c r="T79" s="157" t="s">
        <v>1416</v>
      </c>
      <c r="U79" s="157" t="s">
        <v>655</v>
      </c>
      <c r="V79" s="157" t="s">
        <v>1415</v>
      </c>
      <c r="W79" s="157" t="s">
        <v>1416</v>
      </c>
      <c r="X79" s="156" t="b">
        <v>0</v>
      </c>
      <c r="Y79" s="156" t="b">
        <v>0</v>
      </c>
      <c r="Z79" s="156" t="b">
        <v>0</v>
      </c>
      <c r="AA79" s="156" t="b">
        <v>0</v>
      </c>
      <c r="AB79" s="156"/>
      <c r="AC79" s="156" t="s">
        <v>1562</v>
      </c>
      <c r="AD79" s="156" t="s">
        <v>2342</v>
      </c>
      <c r="AE79" s="156" t="s">
        <v>1417</v>
      </c>
      <c r="AF79" s="158" t="s">
        <v>284</v>
      </c>
      <c r="AG79" s="156"/>
      <c r="AH79" s="158"/>
      <c r="AI79" s="158"/>
      <c r="AJ79" s="158"/>
      <c r="AK79" s="158"/>
      <c r="AL79" s="158"/>
      <c r="AM79" s="158"/>
      <c r="AN79" s="158"/>
      <c r="AO79" s="158"/>
      <c r="AP79" s="158"/>
      <c r="AQ79" s="158"/>
      <c r="AR79" s="158"/>
      <c r="AS79" s="158"/>
      <c r="AT79" s="158"/>
      <c r="AU79" s="158"/>
    </row>
    <row r="80" spans="3:47" s="1" customFormat="1" x14ac:dyDescent="0.25">
      <c r="C80" s="155">
        <v>76</v>
      </c>
      <c r="D80" s="156" t="s">
        <v>828</v>
      </c>
      <c r="E80" s="156" t="s">
        <v>1307</v>
      </c>
      <c r="F80" s="156" t="s">
        <v>2388</v>
      </c>
      <c r="G80" s="156" t="s">
        <v>551</v>
      </c>
      <c r="H80" s="156" t="s">
        <v>585</v>
      </c>
      <c r="I80" s="157" t="s">
        <v>586</v>
      </c>
      <c r="J80" s="156" t="b">
        <v>1</v>
      </c>
      <c r="K80" s="156" t="b">
        <v>0</v>
      </c>
      <c r="L80" s="156" t="b">
        <v>0</v>
      </c>
      <c r="M80" s="156" t="b">
        <v>0</v>
      </c>
      <c r="N80" s="156"/>
      <c r="O80" s="156" t="s">
        <v>576</v>
      </c>
      <c r="P80" s="156" t="s">
        <v>2424</v>
      </c>
      <c r="Q80" s="156"/>
      <c r="R80" s="156" t="s">
        <v>587</v>
      </c>
      <c r="S80" s="157" t="s">
        <v>588</v>
      </c>
      <c r="T80" s="157" t="s">
        <v>589</v>
      </c>
      <c r="U80" s="157" t="s">
        <v>552</v>
      </c>
      <c r="V80" s="157" t="s">
        <v>588</v>
      </c>
      <c r="W80" s="157" t="s">
        <v>589</v>
      </c>
      <c r="X80" s="156" t="b">
        <v>0</v>
      </c>
      <c r="Y80" s="156" t="b">
        <v>0</v>
      </c>
      <c r="Z80" s="156" t="b">
        <v>0</v>
      </c>
      <c r="AA80" s="156" t="b">
        <v>0</v>
      </c>
      <c r="AB80" s="156"/>
      <c r="AC80" s="156" t="s">
        <v>590</v>
      </c>
      <c r="AD80" s="156" t="s">
        <v>2350</v>
      </c>
      <c r="AE80" s="156" t="s">
        <v>591</v>
      </c>
      <c r="AF80" s="158" t="s">
        <v>1798</v>
      </c>
      <c r="AG80" s="156"/>
      <c r="AH80" s="158"/>
      <c r="AI80" s="158"/>
      <c r="AJ80" s="158"/>
      <c r="AK80" s="158"/>
      <c r="AL80" s="158"/>
      <c r="AM80" s="158"/>
      <c r="AN80" s="158"/>
      <c r="AO80" s="158"/>
      <c r="AP80" s="158"/>
      <c r="AQ80" s="158"/>
      <c r="AR80" s="158"/>
      <c r="AS80" s="158"/>
      <c r="AT80" s="158"/>
      <c r="AU80" s="158"/>
    </row>
    <row r="81" spans="3:47" s="1" customFormat="1" x14ac:dyDescent="0.25">
      <c r="C81" s="155">
        <v>77</v>
      </c>
      <c r="D81" s="156" t="s">
        <v>2295</v>
      </c>
      <c r="E81" s="156" t="s">
        <v>1164</v>
      </c>
      <c r="F81" s="156" t="s">
        <v>2388</v>
      </c>
      <c r="G81" s="156" t="s">
        <v>551</v>
      </c>
      <c r="H81" s="156" t="s">
        <v>2296</v>
      </c>
      <c r="I81" s="157" t="s">
        <v>2297</v>
      </c>
      <c r="J81" s="156" t="b">
        <v>1</v>
      </c>
      <c r="K81" s="156" t="b">
        <v>0</v>
      </c>
      <c r="L81" s="156" t="b">
        <v>0</v>
      </c>
      <c r="M81" s="156" t="b">
        <v>0</v>
      </c>
      <c r="N81" s="156"/>
      <c r="O81" s="156" t="s">
        <v>576</v>
      </c>
      <c r="P81" s="156" t="s">
        <v>2424</v>
      </c>
      <c r="Q81" s="156" t="s">
        <v>547</v>
      </c>
      <c r="R81" s="156" t="s">
        <v>2298</v>
      </c>
      <c r="S81" s="157" t="s">
        <v>2299</v>
      </c>
      <c r="T81" s="157" t="s">
        <v>2300</v>
      </c>
      <c r="U81" s="157" t="s">
        <v>653</v>
      </c>
      <c r="V81" s="157" t="s">
        <v>2299</v>
      </c>
      <c r="W81" s="157" t="s">
        <v>2300</v>
      </c>
      <c r="X81" s="156" t="b">
        <v>0</v>
      </c>
      <c r="Y81" s="156" t="b">
        <v>0</v>
      </c>
      <c r="Z81" s="156" t="b">
        <v>0</v>
      </c>
      <c r="AA81" s="156" t="b">
        <v>0</v>
      </c>
      <c r="AB81" s="156"/>
      <c r="AC81" s="156" t="s">
        <v>2301</v>
      </c>
      <c r="AD81" s="156" t="s">
        <v>2342</v>
      </c>
      <c r="AE81" s="156" t="s">
        <v>2302</v>
      </c>
      <c r="AF81" s="158" t="s">
        <v>1798</v>
      </c>
      <c r="AG81" s="156"/>
      <c r="AH81" s="158"/>
      <c r="AI81" s="158"/>
      <c r="AJ81" s="158"/>
      <c r="AK81" s="158"/>
      <c r="AL81" s="158"/>
      <c r="AM81" s="158"/>
      <c r="AN81" s="158"/>
      <c r="AO81" s="158"/>
      <c r="AP81" s="158"/>
      <c r="AQ81" s="158"/>
      <c r="AR81" s="158"/>
      <c r="AS81" s="158"/>
      <c r="AT81" s="158"/>
      <c r="AU81" s="158"/>
    </row>
    <row r="82" spans="3:47" s="1" customFormat="1" x14ac:dyDescent="0.25">
      <c r="C82" s="155">
        <v>78</v>
      </c>
      <c r="D82" s="156" t="s">
        <v>828</v>
      </c>
      <c r="E82" s="156" t="s">
        <v>1307</v>
      </c>
      <c r="F82" s="156" t="s">
        <v>2380</v>
      </c>
      <c r="G82" s="156" t="s">
        <v>551</v>
      </c>
      <c r="H82" s="156" t="s">
        <v>1010</v>
      </c>
      <c r="I82" s="157" t="s">
        <v>1011</v>
      </c>
      <c r="J82" s="156" t="b">
        <v>1</v>
      </c>
      <c r="K82" s="156" t="b">
        <v>0</v>
      </c>
      <c r="L82" s="156" t="b">
        <v>0</v>
      </c>
      <c r="M82" s="156" t="b">
        <v>0</v>
      </c>
      <c r="N82" s="156"/>
      <c r="O82" s="156" t="s">
        <v>415</v>
      </c>
      <c r="P82" s="156"/>
      <c r="Q82" s="156"/>
      <c r="R82" s="156" t="s">
        <v>1012</v>
      </c>
      <c r="S82" s="157" t="s">
        <v>1013</v>
      </c>
      <c r="T82" s="157" t="s">
        <v>1014</v>
      </c>
      <c r="U82" s="157" t="s">
        <v>655</v>
      </c>
      <c r="V82" s="157" t="s">
        <v>1013</v>
      </c>
      <c r="W82" s="157" t="s">
        <v>1014</v>
      </c>
      <c r="X82" s="156" t="b">
        <v>0</v>
      </c>
      <c r="Y82" s="156" t="b">
        <v>0</v>
      </c>
      <c r="Z82" s="156" t="b">
        <v>0</v>
      </c>
      <c r="AA82" s="156" t="b">
        <v>0</v>
      </c>
      <c r="AB82" s="156"/>
      <c r="AC82" s="156" t="s">
        <v>1015</v>
      </c>
      <c r="AD82" s="156" t="s">
        <v>2343</v>
      </c>
      <c r="AE82" s="156" t="s">
        <v>134</v>
      </c>
      <c r="AF82" s="158" t="s">
        <v>207</v>
      </c>
      <c r="AG82" s="156"/>
      <c r="AH82" s="158"/>
      <c r="AI82" s="158"/>
      <c r="AJ82" s="158"/>
      <c r="AK82" s="158"/>
      <c r="AL82" s="158"/>
      <c r="AM82" s="158"/>
      <c r="AN82" s="158"/>
      <c r="AO82" s="158"/>
      <c r="AP82" s="158"/>
      <c r="AQ82" s="158"/>
      <c r="AR82" s="158"/>
      <c r="AS82" s="158"/>
      <c r="AT82" s="158"/>
      <c r="AU82" s="158"/>
    </row>
    <row r="83" spans="3:47" s="1" customFormat="1" x14ac:dyDescent="0.25">
      <c r="C83" s="155">
        <v>79</v>
      </c>
      <c r="D83" s="156" t="s">
        <v>934</v>
      </c>
      <c r="E83" s="156" t="s">
        <v>1037</v>
      </c>
      <c r="F83" s="156"/>
      <c r="G83" s="156" t="s">
        <v>551</v>
      </c>
      <c r="H83" s="156" t="s">
        <v>1387</v>
      </c>
      <c r="I83" s="157" t="s">
        <v>1388</v>
      </c>
      <c r="J83" s="156" t="b">
        <v>1</v>
      </c>
      <c r="K83" s="156" t="b">
        <v>0</v>
      </c>
      <c r="L83" s="156" t="b">
        <v>0</v>
      </c>
      <c r="M83" s="156" t="b">
        <v>0</v>
      </c>
      <c r="N83" s="156"/>
      <c r="O83" s="156" t="s">
        <v>1389</v>
      </c>
      <c r="P83" s="156" t="s">
        <v>2424</v>
      </c>
      <c r="Q83" s="156"/>
      <c r="R83" s="156"/>
      <c r="S83" s="157" t="s">
        <v>1390</v>
      </c>
      <c r="T83" s="157" t="s">
        <v>1391</v>
      </c>
      <c r="U83" s="157" t="s">
        <v>655</v>
      </c>
      <c r="V83" s="157" t="s">
        <v>1390</v>
      </c>
      <c r="W83" s="157" t="s">
        <v>1391</v>
      </c>
      <c r="X83" s="156" t="b">
        <v>0</v>
      </c>
      <c r="Y83" s="156" t="b">
        <v>0</v>
      </c>
      <c r="Z83" s="156" t="b">
        <v>0</v>
      </c>
      <c r="AA83" s="156" t="b">
        <v>0</v>
      </c>
      <c r="AB83" s="156"/>
      <c r="AC83" s="156" t="s">
        <v>1392</v>
      </c>
      <c r="AD83" s="156" t="s">
        <v>1393</v>
      </c>
      <c r="AE83" s="156" t="s">
        <v>1040</v>
      </c>
      <c r="AF83" s="158" t="s">
        <v>1394</v>
      </c>
      <c r="AG83" s="156"/>
      <c r="AH83" s="158"/>
      <c r="AI83" s="158"/>
      <c r="AJ83" s="158"/>
      <c r="AK83" s="158"/>
      <c r="AL83" s="158"/>
      <c r="AM83" s="158"/>
      <c r="AN83" s="158"/>
      <c r="AO83" s="158"/>
      <c r="AP83" s="158"/>
      <c r="AQ83" s="158"/>
      <c r="AR83" s="158"/>
      <c r="AS83" s="158"/>
      <c r="AT83" s="158"/>
      <c r="AU83" s="158"/>
    </row>
    <row r="84" spans="3:47" s="1" customFormat="1" x14ac:dyDescent="0.25">
      <c r="C84" s="155">
        <v>80</v>
      </c>
      <c r="D84" s="156" t="s">
        <v>934</v>
      </c>
      <c r="E84" s="156" t="s">
        <v>1037</v>
      </c>
      <c r="F84" s="156" t="s">
        <v>2388</v>
      </c>
      <c r="G84" s="156" t="s">
        <v>551</v>
      </c>
      <c r="H84" s="156" t="s">
        <v>1395</v>
      </c>
      <c r="I84" s="157" t="s">
        <v>1396</v>
      </c>
      <c r="J84" s="156" t="b">
        <v>1</v>
      </c>
      <c r="K84" s="156" t="b">
        <v>0</v>
      </c>
      <c r="L84" s="156" t="b">
        <v>0</v>
      </c>
      <c r="M84" s="156" t="b">
        <v>0</v>
      </c>
      <c r="N84" s="156"/>
      <c r="O84" s="156" t="s">
        <v>1827</v>
      </c>
      <c r="P84" s="156" t="s">
        <v>2424</v>
      </c>
      <c r="Q84" s="156"/>
      <c r="R84" s="156" t="s">
        <v>1389</v>
      </c>
      <c r="S84" s="157" t="s">
        <v>1390</v>
      </c>
      <c r="T84" s="157" t="s">
        <v>1397</v>
      </c>
      <c r="U84" s="157" t="s">
        <v>655</v>
      </c>
      <c r="V84" s="157" t="s">
        <v>1390</v>
      </c>
      <c r="W84" s="157" t="s">
        <v>1397</v>
      </c>
      <c r="X84" s="156" t="b">
        <v>0</v>
      </c>
      <c r="Y84" s="156" t="b">
        <v>0</v>
      </c>
      <c r="Z84" s="156" t="b">
        <v>0</v>
      </c>
      <c r="AA84" s="156" t="b">
        <v>0</v>
      </c>
      <c r="AB84" s="156"/>
      <c r="AC84" s="156" t="s">
        <v>1004</v>
      </c>
      <c r="AD84" s="156" t="s">
        <v>1398</v>
      </c>
      <c r="AE84" s="156" t="s">
        <v>1040</v>
      </c>
      <c r="AF84" s="158" t="s">
        <v>284</v>
      </c>
      <c r="AG84" s="156"/>
      <c r="AH84" s="158"/>
      <c r="AI84" s="158"/>
      <c r="AJ84" s="158"/>
      <c r="AK84" s="158"/>
      <c r="AL84" s="158"/>
      <c r="AM84" s="158"/>
      <c r="AN84" s="158"/>
      <c r="AO84" s="158"/>
      <c r="AP84" s="158"/>
      <c r="AQ84" s="158"/>
      <c r="AR84" s="158"/>
      <c r="AS84" s="158"/>
      <c r="AT84" s="158"/>
      <c r="AU84" s="158"/>
    </row>
    <row r="85" spans="3:47" s="1" customFormat="1" x14ac:dyDescent="0.25">
      <c r="C85" s="155">
        <v>81</v>
      </c>
      <c r="D85" s="156"/>
      <c r="E85" s="156"/>
      <c r="F85" s="156"/>
      <c r="G85" s="156"/>
      <c r="H85" s="156"/>
      <c r="I85" s="157" t="s">
        <v>651</v>
      </c>
      <c r="J85" s="156" t="b">
        <v>0</v>
      </c>
      <c r="K85" s="156" t="b">
        <v>0</v>
      </c>
      <c r="L85" s="156" t="b">
        <v>0</v>
      </c>
      <c r="M85" s="156" t="b">
        <v>0</v>
      </c>
      <c r="N85" s="156"/>
      <c r="O85" s="156"/>
      <c r="P85" s="156"/>
      <c r="Q85" s="156"/>
      <c r="R85" s="156"/>
      <c r="S85" s="157" t="s">
        <v>180</v>
      </c>
      <c r="T85" s="157" t="s">
        <v>181</v>
      </c>
      <c r="U85" s="157" t="s">
        <v>651</v>
      </c>
      <c r="V85" s="157" t="s">
        <v>180</v>
      </c>
      <c r="W85" s="157" t="s">
        <v>181</v>
      </c>
      <c r="X85" s="156" t="b">
        <v>0</v>
      </c>
      <c r="Y85" s="156" t="b">
        <v>0</v>
      </c>
      <c r="Z85" s="156" t="b">
        <v>0</v>
      </c>
      <c r="AA85" s="156" t="b">
        <v>0</v>
      </c>
      <c r="AB85" s="156"/>
      <c r="AC85" s="156" t="s">
        <v>651</v>
      </c>
      <c r="AD85" s="156" t="s">
        <v>651</v>
      </c>
      <c r="AE85" s="156" t="s">
        <v>651</v>
      </c>
      <c r="AF85" s="158" t="s">
        <v>651</v>
      </c>
      <c r="AG85" s="156"/>
      <c r="AH85" s="158"/>
      <c r="AI85" s="158"/>
      <c r="AJ85" s="158"/>
      <c r="AK85" s="158"/>
      <c r="AL85" s="158"/>
      <c r="AM85" s="158"/>
      <c r="AN85" s="158"/>
      <c r="AO85" s="158"/>
      <c r="AP85" s="158"/>
      <c r="AQ85" s="158"/>
      <c r="AR85" s="158"/>
      <c r="AS85" s="158"/>
      <c r="AT85" s="158"/>
      <c r="AU85" s="158"/>
    </row>
    <row r="86" spans="3:47" s="1" customFormat="1" x14ac:dyDescent="0.25">
      <c r="C86" s="155">
        <v>82</v>
      </c>
      <c r="D86" s="156" t="s">
        <v>828</v>
      </c>
      <c r="E86" s="156" t="s">
        <v>1307</v>
      </c>
      <c r="F86" s="156" t="s">
        <v>126</v>
      </c>
      <c r="G86" s="156" t="s">
        <v>551</v>
      </c>
      <c r="H86" s="156"/>
      <c r="I86" s="157" t="s">
        <v>868</v>
      </c>
      <c r="J86" s="156" t="b">
        <v>1</v>
      </c>
      <c r="K86" s="156" t="b">
        <v>0</v>
      </c>
      <c r="L86" s="156" t="b">
        <v>0</v>
      </c>
      <c r="M86" s="156" t="b">
        <v>0</v>
      </c>
      <c r="N86" s="156"/>
      <c r="O86" s="156"/>
      <c r="P86" s="156" t="s">
        <v>2424</v>
      </c>
      <c r="Q86" s="156" t="s">
        <v>547</v>
      </c>
      <c r="R86" s="156" t="s">
        <v>255</v>
      </c>
      <c r="S86" s="157" t="s">
        <v>1783</v>
      </c>
      <c r="T86" s="157" t="s">
        <v>387</v>
      </c>
      <c r="U86" s="157" t="s">
        <v>653</v>
      </c>
      <c r="V86" s="157" t="s">
        <v>1783</v>
      </c>
      <c r="W86" s="157" t="s">
        <v>387</v>
      </c>
      <c r="X86" s="156" t="b">
        <v>0</v>
      </c>
      <c r="Y86" s="156" t="b">
        <v>0</v>
      </c>
      <c r="Z86" s="156" t="b">
        <v>0</v>
      </c>
      <c r="AA86" s="156" t="b">
        <v>0</v>
      </c>
      <c r="AB86" s="156"/>
      <c r="AC86" s="156" t="s">
        <v>1784</v>
      </c>
      <c r="AD86" s="156" t="s">
        <v>2343</v>
      </c>
      <c r="AE86" s="156" t="s">
        <v>1785</v>
      </c>
      <c r="AF86" s="158" t="s">
        <v>1786</v>
      </c>
      <c r="AG86" s="156"/>
      <c r="AH86" s="158"/>
      <c r="AI86" s="158"/>
      <c r="AJ86" s="158"/>
      <c r="AK86" s="158"/>
      <c r="AL86" s="158"/>
      <c r="AM86" s="158"/>
      <c r="AN86" s="158"/>
      <c r="AO86" s="158"/>
      <c r="AP86" s="158"/>
      <c r="AQ86" s="158"/>
      <c r="AR86" s="158"/>
      <c r="AS86" s="158"/>
      <c r="AT86" s="158"/>
      <c r="AU86" s="158"/>
    </row>
    <row r="87" spans="3:47" s="1" customFormat="1" x14ac:dyDescent="0.25">
      <c r="C87" s="155">
        <v>83</v>
      </c>
      <c r="D87" s="156" t="s">
        <v>828</v>
      </c>
      <c r="E87" s="156" t="s">
        <v>1307</v>
      </c>
      <c r="F87" s="156" t="s">
        <v>2358</v>
      </c>
      <c r="G87" s="156" t="s">
        <v>551</v>
      </c>
      <c r="H87" s="156" t="s">
        <v>553</v>
      </c>
      <c r="I87" s="157" t="s">
        <v>554</v>
      </c>
      <c r="J87" s="156" t="b">
        <v>1</v>
      </c>
      <c r="K87" s="156" t="b">
        <v>0</v>
      </c>
      <c r="L87" s="156" t="b">
        <v>0</v>
      </c>
      <c r="M87" s="156" t="b">
        <v>1</v>
      </c>
      <c r="N87" s="156" t="s">
        <v>555</v>
      </c>
      <c r="O87" s="156" t="s">
        <v>1146</v>
      </c>
      <c r="P87" s="156" t="s">
        <v>2424</v>
      </c>
      <c r="Q87" s="156" t="s">
        <v>547</v>
      </c>
      <c r="R87" s="156" t="s">
        <v>556</v>
      </c>
      <c r="S87" s="157" t="s">
        <v>1783</v>
      </c>
      <c r="T87" s="157" t="s">
        <v>557</v>
      </c>
      <c r="U87" s="157" t="s">
        <v>655</v>
      </c>
      <c r="V87" s="157" t="s">
        <v>1783</v>
      </c>
      <c r="W87" s="157" t="s">
        <v>557</v>
      </c>
      <c r="X87" s="156" t="b">
        <v>0</v>
      </c>
      <c r="Y87" s="156" t="b">
        <v>0</v>
      </c>
      <c r="Z87" s="156" t="b">
        <v>0</v>
      </c>
      <c r="AA87" s="156" t="b">
        <v>0</v>
      </c>
      <c r="AB87" s="156"/>
      <c r="AC87" s="156" t="s">
        <v>791</v>
      </c>
      <c r="AD87" s="156" t="s">
        <v>2342</v>
      </c>
      <c r="AE87" s="156" t="s">
        <v>558</v>
      </c>
      <c r="AF87" s="158" t="s">
        <v>1793</v>
      </c>
      <c r="AG87" s="156"/>
      <c r="AH87" s="158"/>
      <c r="AI87" s="158"/>
      <c r="AJ87" s="158"/>
      <c r="AK87" s="158"/>
      <c r="AL87" s="158"/>
      <c r="AM87" s="158"/>
      <c r="AN87" s="158"/>
      <c r="AO87" s="158"/>
      <c r="AP87" s="158"/>
      <c r="AQ87" s="158"/>
      <c r="AR87" s="158"/>
      <c r="AS87" s="158"/>
      <c r="AT87" s="158"/>
      <c r="AU87" s="158"/>
    </row>
    <row r="88" spans="3:47" s="1" customFormat="1" x14ac:dyDescent="0.25">
      <c r="C88" s="155">
        <v>84</v>
      </c>
      <c r="D88" s="156" t="s">
        <v>828</v>
      </c>
      <c r="E88" s="156" t="s">
        <v>1307</v>
      </c>
      <c r="F88" s="156" t="s">
        <v>126</v>
      </c>
      <c r="G88" s="156" t="s">
        <v>551</v>
      </c>
      <c r="H88" s="156" t="s">
        <v>2210</v>
      </c>
      <c r="I88" s="157" t="s">
        <v>2211</v>
      </c>
      <c r="J88" s="156" t="b">
        <v>1</v>
      </c>
      <c r="K88" s="156" t="b">
        <v>0</v>
      </c>
      <c r="L88" s="156" t="b">
        <v>0</v>
      </c>
      <c r="M88" s="156" t="b">
        <v>0</v>
      </c>
      <c r="N88" s="156"/>
      <c r="O88" s="156" t="s">
        <v>1517</v>
      </c>
      <c r="P88" s="156" t="s">
        <v>2424</v>
      </c>
      <c r="Q88" s="156" t="s">
        <v>547</v>
      </c>
      <c r="R88" s="156" t="s">
        <v>2212</v>
      </c>
      <c r="S88" s="157" t="s">
        <v>2213</v>
      </c>
      <c r="T88" s="157" t="s">
        <v>2214</v>
      </c>
      <c r="U88" s="157" t="s">
        <v>653</v>
      </c>
      <c r="V88" s="157" t="s">
        <v>2213</v>
      </c>
      <c r="W88" s="157" t="s">
        <v>2214</v>
      </c>
      <c r="X88" s="156" t="b">
        <v>0</v>
      </c>
      <c r="Y88" s="156" t="b">
        <v>0</v>
      </c>
      <c r="Z88" s="156" t="b">
        <v>0</v>
      </c>
      <c r="AA88" s="156" t="b">
        <v>0</v>
      </c>
      <c r="AB88" s="156"/>
      <c r="AC88" s="156" t="s">
        <v>2215</v>
      </c>
      <c r="AD88" s="156" t="s">
        <v>2343</v>
      </c>
      <c r="AE88" s="156" t="s">
        <v>2216</v>
      </c>
      <c r="AF88" s="158" t="s">
        <v>373</v>
      </c>
      <c r="AG88" s="156"/>
      <c r="AH88" s="158"/>
      <c r="AI88" s="158"/>
      <c r="AJ88" s="158"/>
      <c r="AK88" s="158"/>
      <c r="AL88" s="158"/>
      <c r="AM88" s="158"/>
      <c r="AN88" s="158"/>
      <c r="AO88" s="158"/>
      <c r="AP88" s="158"/>
      <c r="AQ88" s="158"/>
      <c r="AR88" s="158"/>
      <c r="AS88" s="158"/>
      <c r="AT88" s="158"/>
      <c r="AU88" s="158"/>
    </row>
    <row r="89" spans="3:47" s="1" customFormat="1" x14ac:dyDescent="0.25">
      <c r="C89" s="155">
        <v>85</v>
      </c>
      <c r="D89" s="156" t="s">
        <v>828</v>
      </c>
      <c r="E89" s="156" t="s">
        <v>1307</v>
      </c>
      <c r="F89" s="156" t="s">
        <v>126</v>
      </c>
      <c r="G89" s="156" t="s">
        <v>551</v>
      </c>
      <c r="H89" s="156" t="s">
        <v>936</v>
      </c>
      <c r="I89" s="157" t="s">
        <v>937</v>
      </c>
      <c r="J89" s="156" t="b">
        <v>1</v>
      </c>
      <c r="K89" s="156" t="b">
        <v>0</v>
      </c>
      <c r="L89" s="156" t="b">
        <v>0</v>
      </c>
      <c r="M89" s="156" t="b">
        <v>0</v>
      </c>
      <c r="N89" s="156"/>
      <c r="O89" s="156"/>
      <c r="P89" s="156" t="s">
        <v>2424</v>
      </c>
      <c r="Q89" s="156"/>
      <c r="R89" s="156" t="s">
        <v>2427</v>
      </c>
      <c r="S89" s="157" t="s">
        <v>938</v>
      </c>
      <c r="T89" s="157" t="s">
        <v>252</v>
      </c>
      <c r="U89" s="157" t="s">
        <v>655</v>
      </c>
      <c r="V89" s="157" t="s">
        <v>938</v>
      </c>
      <c r="W89" s="157" t="s">
        <v>252</v>
      </c>
      <c r="X89" s="156" t="b">
        <v>0</v>
      </c>
      <c r="Y89" s="156" t="b">
        <v>0</v>
      </c>
      <c r="Z89" s="156" t="b">
        <v>0</v>
      </c>
      <c r="AA89" s="156" t="b">
        <v>0</v>
      </c>
      <c r="AB89" s="156"/>
      <c r="AC89" s="156" t="s">
        <v>132</v>
      </c>
      <c r="AD89" s="156" t="s">
        <v>2342</v>
      </c>
      <c r="AE89" s="156" t="s">
        <v>939</v>
      </c>
      <c r="AF89" s="158" t="s">
        <v>134</v>
      </c>
      <c r="AG89" s="156"/>
      <c r="AH89" s="158"/>
      <c r="AI89" s="158"/>
      <c r="AJ89" s="158"/>
      <c r="AK89" s="158"/>
      <c r="AL89" s="158"/>
      <c r="AM89" s="158"/>
      <c r="AN89" s="158"/>
      <c r="AO89" s="158"/>
      <c r="AP89" s="158"/>
      <c r="AQ89" s="158"/>
      <c r="AR89" s="158"/>
      <c r="AS89" s="158"/>
      <c r="AT89" s="158"/>
      <c r="AU89" s="158"/>
    </row>
    <row r="90" spans="3:47" s="1" customFormat="1" x14ac:dyDescent="0.25">
      <c r="C90" s="155">
        <v>86</v>
      </c>
      <c r="D90" s="156" t="s">
        <v>828</v>
      </c>
      <c r="E90" s="156" t="s">
        <v>1307</v>
      </c>
      <c r="F90" s="156" t="s">
        <v>126</v>
      </c>
      <c r="G90" s="156" t="s">
        <v>551</v>
      </c>
      <c r="H90" s="156" t="s">
        <v>2644</v>
      </c>
      <c r="I90" s="157" t="s">
        <v>2645</v>
      </c>
      <c r="J90" s="156" t="b">
        <v>1</v>
      </c>
      <c r="K90" s="156" t="b">
        <v>0</v>
      </c>
      <c r="L90" s="156" t="b">
        <v>0</v>
      </c>
      <c r="M90" s="156" t="b">
        <v>0</v>
      </c>
      <c r="N90" s="156"/>
      <c r="O90" s="156" t="s">
        <v>2646</v>
      </c>
      <c r="P90" s="156" t="s">
        <v>2424</v>
      </c>
      <c r="Q90" s="156" t="s">
        <v>547</v>
      </c>
      <c r="R90" s="156" t="s">
        <v>2427</v>
      </c>
      <c r="S90" s="157" t="s">
        <v>2647</v>
      </c>
      <c r="T90" s="157" t="s">
        <v>1368</v>
      </c>
      <c r="U90" s="157" t="s">
        <v>655</v>
      </c>
      <c r="V90" s="157" t="s">
        <v>2647</v>
      </c>
      <c r="W90" s="157" t="s">
        <v>1368</v>
      </c>
      <c r="X90" s="156" t="b">
        <v>0</v>
      </c>
      <c r="Y90" s="156" t="b">
        <v>0</v>
      </c>
      <c r="Z90" s="156" t="b">
        <v>0</v>
      </c>
      <c r="AA90" s="156" t="b">
        <v>0</v>
      </c>
      <c r="AB90" s="156"/>
      <c r="AC90" s="156" t="s">
        <v>2648</v>
      </c>
      <c r="AD90" s="156" t="s">
        <v>2342</v>
      </c>
      <c r="AE90" s="156" t="s">
        <v>2649</v>
      </c>
      <c r="AF90" s="158" t="s">
        <v>1724</v>
      </c>
      <c r="AG90" s="156"/>
      <c r="AH90" s="158"/>
      <c r="AI90" s="158"/>
      <c r="AJ90" s="158"/>
      <c r="AK90" s="158"/>
      <c r="AL90" s="158"/>
      <c r="AM90" s="158"/>
      <c r="AN90" s="158"/>
      <c r="AO90" s="158"/>
      <c r="AP90" s="158"/>
      <c r="AQ90" s="158"/>
      <c r="AR90" s="158"/>
      <c r="AS90" s="158"/>
      <c r="AT90" s="158"/>
      <c r="AU90" s="158"/>
    </row>
    <row r="91" spans="3:47" s="1" customFormat="1" x14ac:dyDescent="0.25">
      <c r="C91" s="155">
        <v>87</v>
      </c>
      <c r="D91" s="156" t="s">
        <v>828</v>
      </c>
      <c r="E91" s="156" t="s">
        <v>1307</v>
      </c>
      <c r="F91" s="156" t="s">
        <v>2375</v>
      </c>
      <c r="G91" s="156" t="s">
        <v>551</v>
      </c>
      <c r="H91" s="156" t="s">
        <v>49</v>
      </c>
      <c r="I91" s="157" t="s">
        <v>50</v>
      </c>
      <c r="J91" s="156" t="b">
        <v>1</v>
      </c>
      <c r="K91" s="156" t="b">
        <v>0</v>
      </c>
      <c r="L91" s="156" t="b">
        <v>0</v>
      </c>
      <c r="M91" s="156" t="b">
        <v>0</v>
      </c>
      <c r="N91" s="156"/>
      <c r="O91" s="156"/>
      <c r="P91" s="156" t="s">
        <v>2424</v>
      </c>
      <c r="Q91" s="156"/>
      <c r="R91" s="156" t="s">
        <v>51</v>
      </c>
      <c r="S91" s="157" t="s">
        <v>52</v>
      </c>
      <c r="T91" s="157" t="s">
        <v>53</v>
      </c>
      <c r="U91" s="157" t="s">
        <v>655</v>
      </c>
      <c r="V91" s="157" t="s">
        <v>52</v>
      </c>
      <c r="W91" s="157" t="s">
        <v>53</v>
      </c>
      <c r="X91" s="156" t="b">
        <v>0</v>
      </c>
      <c r="Y91" s="156" t="b">
        <v>0</v>
      </c>
      <c r="Z91" s="156" t="b">
        <v>0</v>
      </c>
      <c r="AA91" s="156" t="b">
        <v>0</v>
      </c>
      <c r="AB91" s="156"/>
      <c r="AC91" s="156" t="s">
        <v>1562</v>
      </c>
      <c r="AD91" s="156" t="s">
        <v>2344</v>
      </c>
      <c r="AE91" s="156" t="s">
        <v>54</v>
      </c>
      <c r="AF91" s="158" t="s">
        <v>55</v>
      </c>
      <c r="AG91" s="156"/>
      <c r="AH91" s="158"/>
      <c r="AI91" s="158"/>
      <c r="AJ91" s="158"/>
      <c r="AK91" s="158"/>
      <c r="AL91" s="158"/>
      <c r="AM91" s="158"/>
      <c r="AN91" s="158"/>
      <c r="AO91" s="158"/>
      <c r="AP91" s="158"/>
      <c r="AQ91" s="158"/>
      <c r="AR91" s="158"/>
      <c r="AS91" s="158"/>
      <c r="AT91" s="158"/>
      <c r="AU91" s="158"/>
    </row>
    <row r="92" spans="3:47" s="1" customFormat="1" x14ac:dyDescent="0.25">
      <c r="C92" s="155">
        <v>88</v>
      </c>
      <c r="D92" s="156" t="s">
        <v>828</v>
      </c>
      <c r="E92" s="156" t="s">
        <v>1307</v>
      </c>
      <c r="F92" s="156" t="s">
        <v>2375</v>
      </c>
      <c r="G92" s="156" t="s">
        <v>551</v>
      </c>
      <c r="H92" s="156" t="s">
        <v>1646</v>
      </c>
      <c r="I92" s="157" t="s">
        <v>1647</v>
      </c>
      <c r="J92" s="156" t="b">
        <v>1</v>
      </c>
      <c r="K92" s="156" t="b">
        <v>0</v>
      </c>
      <c r="L92" s="156" t="b">
        <v>0</v>
      </c>
      <c r="M92" s="156" t="b">
        <v>0</v>
      </c>
      <c r="N92" s="156"/>
      <c r="O92" s="156" t="s">
        <v>1648</v>
      </c>
      <c r="P92" s="156" t="s">
        <v>67</v>
      </c>
      <c r="Q92" s="156" t="s">
        <v>547</v>
      </c>
      <c r="R92" s="156" t="s">
        <v>1649</v>
      </c>
      <c r="S92" s="157" t="s">
        <v>1650</v>
      </c>
      <c r="T92" s="157" t="s">
        <v>1651</v>
      </c>
      <c r="U92" s="157" t="s">
        <v>653</v>
      </c>
      <c r="V92" s="157" t="s">
        <v>1650</v>
      </c>
      <c r="W92" s="157" t="s">
        <v>1651</v>
      </c>
      <c r="X92" s="156" t="b">
        <v>0</v>
      </c>
      <c r="Y92" s="156" t="b">
        <v>0</v>
      </c>
      <c r="Z92" s="156" t="b">
        <v>0</v>
      </c>
      <c r="AA92" s="156" t="b">
        <v>0</v>
      </c>
      <c r="AB92" s="156"/>
      <c r="AC92" s="156" t="s">
        <v>1652</v>
      </c>
      <c r="AD92" s="156" t="s">
        <v>2348</v>
      </c>
      <c r="AE92" s="156" t="s">
        <v>1653</v>
      </c>
      <c r="AF92" s="158" t="s">
        <v>1654</v>
      </c>
      <c r="AG92" s="156"/>
      <c r="AH92" s="158"/>
      <c r="AI92" s="158"/>
      <c r="AJ92" s="158"/>
      <c r="AK92" s="158"/>
      <c r="AL92" s="158"/>
      <c r="AM92" s="158"/>
      <c r="AN92" s="158"/>
      <c r="AO92" s="158"/>
      <c r="AP92" s="158"/>
      <c r="AQ92" s="158"/>
      <c r="AR92" s="158"/>
      <c r="AS92" s="158"/>
      <c r="AT92" s="158"/>
      <c r="AU92" s="158"/>
    </row>
    <row r="93" spans="3:47" s="1" customFormat="1" x14ac:dyDescent="0.25">
      <c r="C93" s="155">
        <v>89</v>
      </c>
      <c r="D93" s="156" t="s">
        <v>2295</v>
      </c>
      <c r="E93" s="156" t="s">
        <v>1164</v>
      </c>
      <c r="F93" s="156" t="s">
        <v>425</v>
      </c>
      <c r="G93" s="156" t="s">
        <v>551</v>
      </c>
      <c r="H93" s="156" t="s">
        <v>426</v>
      </c>
      <c r="I93" s="157" t="s">
        <v>427</v>
      </c>
      <c r="J93" s="156" t="b">
        <v>1</v>
      </c>
      <c r="K93" s="156" t="b">
        <v>0</v>
      </c>
      <c r="L93" s="156" t="b">
        <v>0</v>
      </c>
      <c r="M93" s="156" t="b">
        <v>0</v>
      </c>
      <c r="N93" s="156"/>
      <c r="O93" s="156" t="s">
        <v>428</v>
      </c>
      <c r="P93" s="156" t="s">
        <v>2424</v>
      </c>
      <c r="Q93" s="156" t="s">
        <v>547</v>
      </c>
      <c r="R93" s="156" t="s">
        <v>429</v>
      </c>
      <c r="S93" s="157" t="s">
        <v>430</v>
      </c>
      <c r="T93" s="157" t="s">
        <v>560</v>
      </c>
      <c r="U93" s="157" t="s">
        <v>653</v>
      </c>
      <c r="V93" s="157" t="s">
        <v>430</v>
      </c>
      <c r="W93" s="157" t="s">
        <v>560</v>
      </c>
      <c r="X93" s="156" t="b">
        <v>0</v>
      </c>
      <c r="Y93" s="156" t="b">
        <v>0</v>
      </c>
      <c r="Z93" s="156" t="b">
        <v>0</v>
      </c>
      <c r="AA93" s="156" t="b">
        <v>0</v>
      </c>
      <c r="AB93" s="156"/>
      <c r="AC93" s="156" t="s">
        <v>559</v>
      </c>
      <c r="AD93" s="156" t="s">
        <v>2342</v>
      </c>
      <c r="AE93" s="156" t="s">
        <v>431</v>
      </c>
      <c r="AF93" s="158" t="s">
        <v>432</v>
      </c>
      <c r="AG93" s="156"/>
      <c r="AH93" s="158"/>
      <c r="AI93" s="158"/>
      <c r="AJ93" s="158"/>
      <c r="AK93" s="158"/>
      <c r="AL93" s="158"/>
      <c r="AM93" s="158"/>
      <c r="AN93" s="158"/>
      <c r="AO93" s="158"/>
      <c r="AP93" s="158"/>
      <c r="AQ93" s="158"/>
      <c r="AR93" s="158"/>
      <c r="AS93" s="158"/>
      <c r="AT93" s="158"/>
      <c r="AU93" s="158"/>
    </row>
    <row r="94" spans="3:47" s="1" customFormat="1" x14ac:dyDescent="0.25">
      <c r="C94" s="155">
        <v>90</v>
      </c>
      <c r="D94" s="156" t="s">
        <v>828</v>
      </c>
      <c r="E94" s="156" t="s">
        <v>1307</v>
      </c>
      <c r="F94" s="156" t="s">
        <v>2008</v>
      </c>
      <c r="G94" s="156" t="s">
        <v>551</v>
      </c>
      <c r="H94" s="156" t="s">
        <v>1318</v>
      </c>
      <c r="I94" s="157" t="s">
        <v>2009</v>
      </c>
      <c r="J94" s="156" t="b">
        <v>1</v>
      </c>
      <c r="K94" s="156" t="b">
        <v>0</v>
      </c>
      <c r="L94" s="156" t="b">
        <v>0</v>
      </c>
      <c r="M94" s="156" t="b">
        <v>0</v>
      </c>
      <c r="N94" s="156"/>
      <c r="O94" s="156" t="s">
        <v>2010</v>
      </c>
      <c r="P94" s="156" t="s">
        <v>2424</v>
      </c>
      <c r="Q94" s="156"/>
      <c r="R94" s="156" t="s">
        <v>2011</v>
      </c>
      <c r="S94" s="157" t="s">
        <v>2012</v>
      </c>
      <c r="T94" s="157" t="s">
        <v>1431</v>
      </c>
      <c r="U94" s="157" t="s">
        <v>700</v>
      </c>
      <c r="V94" s="157" t="s">
        <v>2012</v>
      </c>
      <c r="W94" s="157" t="s">
        <v>1431</v>
      </c>
      <c r="X94" s="156" t="b">
        <v>0</v>
      </c>
      <c r="Y94" s="156" t="b">
        <v>0</v>
      </c>
      <c r="Z94" s="156" t="b">
        <v>0</v>
      </c>
      <c r="AA94" s="156" t="b">
        <v>0</v>
      </c>
      <c r="AB94" s="156"/>
      <c r="AC94" s="156" t="s">
        <v>2013</v>
      </c>
      <c r="AD94" s="156" t="s">
        <v>2344</v>
      </c>
      <c r="AE94" s="156" t="s">
        <v>2014</v>
      </c>
      <c r="AF94" s="158" t="s">
        <v>2015</v>
      </c>
      <c r="AG94" s="156"/>
      <c r="AH94" s="158"/>
      <c r="AI94" s="158"/>
      <c r="AJ94" s="158"/>
      <c r="AK94" s="158"/>
      <c r="AL94" s="158"/>
      <c r="AM94" s="158"/>
      <c r="AN94" s="158"/>
      <c r="AO94" s="158"/>
      <c r="AP94" s="158"/>
      <c r="AQ94" s="158"/>
      <c r="AR94" s="158"/>
      <c r="AS94" s="158"/>
      <c r="AT94" s="158"/>
      <c r="AU94" s="158"/>
    </row>
    <row r="95" spans="3:47" s="1" customFormat="1" x14ac:dyDescent="0.25">
      <c r="C95" s="155">
        <v>91</v>
      </c>
      <c r="D95" s="156" t="s">
        <v>828</v>
      </c>
      <c r="E95" s="156" t="s">
        <v>1307</v>
      </c>
      <c r="F95" s="156" t="s">
        <v>2356</v>
      </c>
      <c r="G95" s="156" t="s">
        <v>551</v>
      </c>
      <c r="H95" s="156" t="s">
        <v>383</v>
      </c>
      <c r="I95" s="157" t="s">
        <v>735</v>
      </c>
      <c r="J95" s="156" t="b">
        <v>1</v>
      </c>
      <c r="K95" s="156" t="b">
        <v>0</v>
      </c>
      <c r="L95" s="156" t="b">
        <v>0</v>
      </c>
      <c r="M95" s="156" t="b">
        <v>0</v>
      </c>
      <c r="N95" s="156"/>
      <c r="O95" s="156" t="s">
        <v>736</v>
      </c>
      <c r="P95" s="156" t="s">
        <v>2424</v>
      </c>
      <c r="Q95" s="156"/>
      <c r="R95" s="156" t="s">
        <v>737</v>
      </c>
      <c r="S95" s="157" t="s">
        <v>2012</v>
      </c>
      <c r="T95" s="157" t="s">
        <v>738</v>
      </c>
      <c r="U95" s="157" t="s">
        <v>700</v>
      </c>
      <c r="V95" s="157" t="s">
        <v>2012</v>
      </c>
      <c r="W95" s="157" t="s">
        <v>738</v>
      </c>
      <c r="X95" s="156" t="b">
        <v>0</v>
      </c>
      <c r="Y95" s="156" t="b">
        <v>0</v>
      </c>
      <c r="Z95" s="156" t="b">
        <v>0</v>
      </c>
      <c r="AA95" s="156" t="b">
        <v>0</v>
      </c>
      <c r="AB95" s="156"/>
      <c r="AC95" s="156" t="s">
        <v>869</v>
      </c>
      <c r="AD95" s="156" t="s">
        <v>2344</v>
      </c>
      <c r="AE95" s="156" t="s">
        <v>739</v>
      </c>
      <c r="AF95" s="158" t="s">
        <v>740</v>
      </c>
      <c r="AG95" s="156"/>
      <c r="AH95" s="158"/>
      <c r="AI95" s="158"/>
      <c r="AJ95" s="158"/>
      <c r="AK95" s="158"/>
      <c r="AL95" s="158"/>
      <c r="AM95" s="158"/>
      <c r="AN95" s="158"/>
      <c r="AO95" s="158"/>
      <c r="AP95" s="158"/>
      <c r="AQ95" s="158"/>
      <c r="AR95" s="158"/>
      <c r="AS95" s="158"/>
      <c r="AT95" s="158"/>
      <c r="AU95" s="158"/>
    </row>
    <row r="96" spans="3:47" s="1" customFormat="1" x14ac:dyDescent="0.25">
      <c r="C96" s="155">
        <v>92</v>
      </c>
      <c r="D96" s="156" t="s">
        <v>828</v>
      </c>
      <c r="E96" s="156" t="s">
        <v>1307</v>
      </c>
      <c r="F96" s="156" t="s">
        <v>77</v>
      </c>
      <c r="G96" s="156" t="s">
        <v>551</v>
      </c>
      <c r="H96" s="156" t="s">
        <v>2403</v>
      </c>
      <c r="I96" s="157" t="s">
        <v>1388</v>
      </c>
      <c r="J96" s="156" t="b">
        <v>1</v>
      </c>
      <c r="K96" s="156" t="b">
        <v>0</v>
      </c>
      <c r="L96" s="156" t="b">
        <v>0</v>
      </c>
      <c r="M96" s="156" t="b">
        <v>0</v>
      </c>
      <c r="N96" s="156"/>
      <c r="O96" s="156"/>
      <c r="P96" s="156" t="s">
        <v>2424</v>
      </c>
      <c r="Q96" s="156" t="s">
        <v>547</v>
      </c>
      <c r="R96" s="156" t="s">
        <v>556</v>
      </c>
      <c r="S96" s="157" t="s">
        <v>2404</v>
      </c>
      <c r="T96" s="157" t="s">
        <v>1391</v>
      </c>
      <c r="U96" s="157" t="s">
        <v>655</v>
      </c>
      <c r="V96" s="157" t="s">
        <v>2404</v>
      </c>
      <c r="W96" s="157" t="s">
        <v>1391</v>
      </c>
      <c r="X96" s="156" t="b">
        <v>0</v>
      </c>
      <c r="Y96" s="156" t="b">
        <v>0</v>
      </c>
      <c r="Z96" s="156" t="b">
        <v>0</v>
      </c>
      <c r="AA96" s="156" t="b">
        <v>0</v>
      </c>
      <c r="AB96" s="156"/>
      <c r="AC96" s="156" t="s">
        <v>1296</v>
      </c>
      <c r="AD96" s="156" t="s">
        <v>2342</v>
      </c>
      <c r="AE96" s="156" t="s">
        <v>2405</v>
      </c>
      <c r="AF96" s="158" t="s">
        <v>2406</v>
      </c>
      <c r="AG96" s="156"/>
      <c r="AH96" s="158"/>
      <c r="AI96" s="158"/>
      <c r="AJ96" s="158"/>
      <c r="AK96" s="158"/>
      <c r="AL96" s="158"/>
      <c r="AM96" s="158"/>
      <c r="AN96" s="158"/>
      <c r="AO96" s="158"/>
      <c r="AP96" s="158"/>
      <c r="AQ96" s="158"/>
      <c r="AR96" s="158"/>
      <c r="AS96" s="158"/>
      <c r="AT96" s="158"/>
      <c r="AU96" s="158"/>
    </row>
    <row r="97" spans="3:47" s="1" customFormat="1" x14ac:dyDescent="0.25">
      <c r="C97" s="155">
        <v>93</v>
      </c>
      <c r="D97" s="156" t="s">
        <v>828</v>
      </c>
      <c r="E97" s="156" t="s">
        <v>1307</v>
      </c>
      <c r="F97" s="156" t="s">
        <v>2357</v>
      </c>
      <c r="G97" s="156" t="s">
        <v>551</v>
      </c>
      <c r="H97" s="156" t="s">
        <v>1068</v>
      </c>
      <c r="I97" s="157" t="s">
        <v>919</v>
      </c>
      <c r="J97" s="156" t="b">
        <v>1</v>
      </c>
      <c r="K97" s="156" t="b">
        <v>0</v>
      </c>
      <c r="L97" s="156" t="b">
        <v>0</v>
      </c>
      <c r="M97" s="156" t="b">
        <v>0</v>
      </c>
      <c r="N97" s="156"/>
      <c r="O97" s="156" t="s">
        <v>1999</v>
      </c>
      <c r="P97" s="156" t="s">
        <v>2424</v>
      </c>
      <c r="Q97" s="156" t="s">
        <v>547</v>
      </c>
      <c r="R97" s="156" t="s">
        <v>2427</v>
      </c>
      <c r="S97" s="157" t="s">
        <v>1069</v>
      </c>
      <c r="T97" s="157" t="s">
        <v>923</v>
      </c>
      <c r="U97" s="157" t="s">
        <v>655</v>
      </c>
      <c r="V97" s="157" t="s">
        <v>1069</v>
      </c>
      <c r="W97" s="157" t="s">
        <v>923</v>
      </c>
      <c r="X97" s="156" t="b">
        <v>0</v>
      </c>
      <c r="Y97" s="156" t="b">
        <v>0</v>
      </c>
      <c r="Z97" s="156" t="b">
        <v>0</v>
      </c>
      <c r="AA97" s="156" t="b">
        <v>0</v>
      </c>
      <c r="AB97" s="156"/>
      <c r="AC97" s="156" t="s">
        <v>1070</v>
      </c>
      <c r="AD97" s="156" t="s">
        <v>2342</v>
      </c>
      <c r="AE97" s="156" t="s">
        <v>2006</v>
      </c>
      <c r="AF97" s="158" t="s">
        <v>1619</v>
      </c>
      <c r="AG97" s="156"/>
      <c r="AH97" s="158"/>
      <c r="AI97" s="158"/>
      <c r="AJ97" s="158"/>
      <c r="AK97" s="158"/>
      <c r="AL97" s="158"/>
      <c r="AM97" s="158"/>
      <c r="AN97" s="158"/>
      <c r="AO97" s="158"/>
      <c r="AP97" s="158"/>
      <c r="AQ97" s="158"/>
      <c r="AR97" s="158"/>
      <c r="AS97" s="158"/>
      <c r="AT97" s="158"/>
      <c r="AU97" s="158"/>
    </row>
    <row r="98" spans="3:47" s="1" customFormat="1" x14ac:dyDescent="0.25">
      <c r="C98" s="155">
        <v>94</v>
      </c>
      <c r="D98" s="156" t="s">
        <v>828</v>
      </c>
      <c r="E98" s="156" t="s">
        <v>1307</v>
      </c>
      <c r="F98" s="156" t="s">
        <v>2357</v>
      </c>
      <c r="G98" s="156" t="s">
        <v>551</v>
      </c>
      <c r="H98" s="156" t="s">
        <v>1318</v>
      </c>
      <c r="I98" s="157" t="s">
        <v>2748</v>
      </c>
      <c r="J98" s="156" t="b">
        <v>1</v>
      </c>
      <c r="K98" s="156" t="b">
        <v>0</v>
      </c>
      <c r="L98" s="156" t="b">
        <v>0</v>
      </c>
      <c r="M98" s="156" t="b">
        <v>0</v>
      </c>
      <c r="N98" s="156"/>
      <c r="O98" s="156" t="s">
        <v>479</v>
      </c>
      <c r="P98" s="156" t="s">
        <v>2424</v>
      </c>
      <c r="Q98" s="156" t="s">
        <v>547</v>
      </c>
      <c r="R98" s="156" t="s">
        <v>2427</v>
      </c>
      <c r="S98" s="157" t="s">
        <v>2749</v>
      </c>
      <c r="T98" s="157" t="s">
        <v>2750</v>
      </c>
      <c r="U98" s="157" t="s">
        <v>655</v>
      </c>
      <c r="V98" s="157" t="s">
        <v>2749</v>
      </c>
      <c r="W98" s="157" t="s">
        <v>2750</v>
      </c>
      <c r="X98" s="156" t="b">
        <v>0</v>
      </c>
      <c r="Y98" s="156" t="b">
        <v>0</v>
      </c>
      <c r="Z98" s="156" t="b">
        <v>0</v>
      </c>
      <c r="AA98" s="156" t="b">
        <v>0</v>
      </c>
      <c r="AB98" s="156"/>
      <c r="AC98" s="156" t="s">
        <v>2751</v>
      </c>
      <c r="AD98" s="156" t="s">
        <v>2342</v>
      </c>
      <c r="AE98" s="156" t="s">
        <v>2752</v>
      </c>
      <c r="AF98" s="158" t="s">
        <v>1672</v>
      </c>
      <c r="AG98" s="156"/>
      <c r="AH98" s="158"/>
      <c r="AI98" s="158"/>
      <c r="AJ98" s="158"/>
      <c r="AK98" s="158"/>
      <c r="AL98" s="158"/>
      <c r="AM98" s="158"/>
      <c r="AN98" s="158"/>
      <c r="AO98" s="158"/>
      <c r="AP98" s="158"/>
      <c r="AQ98" s="158"/>
      <c r="AR98" s="158"/>
      <c r="AS98" s="158"/>
      <c r="AT98" s="158"/>
      <c r="AU98" s="158"/>
    </row>
    <row r="99" spans="3:47" s="1" customFormat="1" x14ac:dyDescent="0.25">
      <c r="C99" s="155">
        <v>95</v>
      </c>
      <c r="D99" s="156" t="s">
        <v>828</v>
      </c>
      <c r="E99" s="156" t="s">
        <v>1307</v>
      </c>
      <c r="F99" s="156" t="s">
        <v>1356</v>
      </c>
      <c r="G99" s="156" t="s">
        <v>551</v>
      </c>
      <c r="H99" s="156" t="s">
        <v>1357</v>
      </c>
      <c r="I99" s="157" t="s">
        <v>1358</v>
      </c>
      <c r="J99" s="156" t="b">
        <v>1</v>
      </c>
      <c r="K99" s="156" t="b">
        <v>0</v>
      </c>
      <c r="L99" s="156" t="b">
        <v>0</v>
      </c>
      <c r="M99" s="156" t="b">
        <v>0</v>
      </c>
      <c r="N99" s="156"/>
      <c r="O99" s="156" t="s">
        <v>1359</v>
      </c>
      <c r="P99" s="156" t="s">
        <v>2424</v>
      </c>
      <c r="Q99" s="156"/>
      <c r="R99" s="156" t="s">
        <v>861</v>
      </c>
      <c r="S99" s="157" t="s">
        <v>1360</v>
      </c>
      <c r="T99" s="157" t="s">
        <v>1361</v>
      </c>
      <c r="U99" s="157" t="s">
        <v>700</v>
      </c>
      <c r="V99" s="157" t="s">
        <v>1360</v>
      </c>
      <c r="W99" s="157" t="s">
        <v>1361</v>
      </c>
      <c r="X99" s="156" t="b">
        <v>0</v>
      </c>
      <c r="Y99" s="156" t="b">
        <v>0</v>
      </c>
      <c r="Z99" s="156" t="b">
        <v>0</v>
      </c>
      <c r="AA99" s="156" t="b">
        <v>0</v>
      </c>
      <c r="AB99" s="156"/>
      <c r="AC99" s="156" t="s">
        <v>1362</v>
      </c>
      <c r="AD99" s="156" t="s">
        <v>1363</v>
      </c>
      <c r="AE99" s="156" t="s">
        <v>1364</v>
      </c>
      <c r="AF99" s="158" t="s">
        <v>1365</v>
      </c>
      <c r="AG99" s="156"/>
      <c r="AH99" s="158"/>
      <c r="AI99" s="158"/>
      <c r="AJ99" s="158"/>
      <c r="AK99" s="158"/>
      <c r="AL99" s="158"/>
      <c r="AM99" s="158"/>
      <c r="AN99" s="158"/>
      <c r="AO99" s="158"/>
      <c r="AP99" s="158"/>
      <c r="AQ99" s="158"/>
      <c r="AR99" s="158"/>
      <c r="AS99" s="158"/>
      <c r="AT99" s="158"/>
      <c r="AU99" s="158"/>
    </row>
    <row r="100" spans="3:47" s="1" customFormat="1" x14ac:dyDescent="0.25">
      <c r="C100" s="155">
        <v>96</v>
      </c>
      <c r="D100" s="156" t="s">
        <v>828</v>
      </c>
      <c r="E100" s="156" t="s">
        <v>1307</v>
      </c>
      <c r="F100" s="156" t="s">
        <v>2365</v>
      </c>
      <c r="G100" s="156" t="s">
        <v>551</v>
      </c>
      <c r="H100" s="156" t="s">
        <v>99</v>
      </c>
      <c r="I100" s="157" t="s">
        <v>100</v>
      </c>
      <c r="J100" s="156" t="b">
        <v>1</v>
      </c>
      <c r="K100" s="156" t="b">
        <v>0</v>
      </c>
      <c r="L100" s="156" t="b">
        <v>0</v>
      </c>
      <c r="M100" s="156" t="b">
        <v>0</v>
      </c>
      <c r="N100" s="156"/>
      <c r="O100" s="156" t="s">
        <v>915</v>
      </c>
      <c r="P100" s="156" t="s">
        <v>2424</v>
      </c>
      <c r="Q100" s="156"/>
      <c r="R100" s="156" t="s">
        <v>101</v>
      </c>
      <c r="S100" s="157" t="s">
        <v>102</v>
      </c>
      <c r="T100" s="157" t="s">
        <v>103</v>
      </c>
      <c r="U100" s="157" t="s">
        <v>552</v>
      </c>
      <c r="V100" s="157" t="s">
        <v>102</v>
      </c>
      <c r="W100" s="157" t="s">
        <v>103</v>
      </c>
      <c r="X100" s="156" t="b">
        <v>0</v>
      </c>
      <c r="Y100" s="156" t="b">
        <v>0</v>
      </c>
      <c r="Z100" s="156" t="b">
        <v>0</v>
      </c>
      <c r="AA100" s="156" t="b">
        <v>0</v>
      </c>
      <c r="AB100" s="156"/>
      <c r="AC100" s="156" t="s">
        <v>104</v>
      </c>
      <c r="AD100" s="156" t="s">
        <v>2350</v>
      </c>
      <c r="AE100" s="156" t="s">
        <v>105</v>
      </c>
      <c r="AF100" s="158" t="s">
        <v>106</v>
      </c>
      <c r="AG100" s="156"/>
      <c r="AH100" s="158"/>
      <c r="AI100" s="158"/>
      <c r="AJ100" s="158"/>
      <c r="AK100" s="158"/>
      <c r="AL100" s="158"/>
      <c r="AM100" s="158"/>
      <c r="AN100" s="158"/>
      <c r="AO100" s="158"/>
      <c r="AP100" s="158"/>
      <c r="AQ100" s="158"/>
      <c r="AR100" s="158"/>
      <c r="AS100" s="158"/>
      <c r="AT100" s="158"/>
      <c r="AU100" s="158"/>
    </row>
    <row r="101" spans="3:47" s="1" customFormat="1" x14ac:dyDescent="0.25">
      <c r="C101" s="155">
        <v>97</v>
      </c>
      <c r="D101" s="156" t="s">
        <v>828</v>
      </c>
      <c r="E101" s="156" t="s">
        <v>1307</v>
      </c>
      <c r="F101" s="156" t="s">
        <v>2365</v>
      </c>
      <c r="G101" s="156" t="s">
        <v>551</v>
      </c>
      <c r="H101" s="156" t="s">
        <v>383</v>
      </c>
      <c r="I101" s="157" t="s">
        <v>1661</v>
      </c>
      <c r="J101" s="156" t="b">
        <v>1</v>
      </c>
      <c r="K101" s="156" t="b">
        <v>0</v>
      </c>
      <c r="L101" s="156" t="b">
        <v>0</v>
      </c>
      <c r="M101" s="156" t="b">
        <v>0</v>
      </c>
      <c r="N101" s="156"/>
      <c r="O101" s="156" t="s">
        <v>915</v>
      </c>
      <c r="P101" s="156" t="s">
        <v>2424</v>
      </c>
      <c r="Q101" s="156"/>
      <c r="R101" s="156" t="s">
        <v>2725</v>
      </c>
      <c r="S101" s="157" t="s">
        <v>1662</v>
      </c>
      <c r="T101" s="157" t="s">
        <v>1663</v>
      </c>
      <c r="U101" s="157" t="s">
        <v>552</v>
      </c>
      <c r="V101" s="157" t="s">
        <v>1662</v>
      </c>
      <c r="W101" s="157" t="s">
        <v>1663</v>
      </c>
      <c r="X101" s="156" t="b">
        <v>0</v>
      </c>
      <c r="Y101" s="156" t="b">
        <v>0</v>
      </c>
      <c r="Z101" s="156" t="b">
        <v>0</v>
      </c>
      <c r="AA101" s="156" t="b">
        <v>0</v>
      </c>
      <c r="AB101" s="156"/>
      <c r="AC101" s="156" t="s">
        <v>864</v>
      </c>
      <c r="AD101" s="156" t="s">
        <v>2350</v>
      </c>
      <c r="AE101" s="156" t="s">
        <v>1664</v>
      </c>
      <c r="AF101" s="158" t="s">
        <v>106</v>
      </c>
      <c r="AG101" s="156"/>
      <c r="AH101" s="158"/>
      <c r="AI101" s="158"/>
      <c r="AJ101" s="158"/>
      <c r="AK101" s="158"/>
      <c r="AL101" s="158"/>
      <c r="AM101" s="158"/>
      <c r="AN101" s="158"/>
      <c r="AO101" s="158"/>
      <c r="AP101" s="158"/>
      <c r="AQ101" s="158"/>
      <c r="AR101" s="158"/>
      <c r="AS101" s="158"/>
      <c r="AT101" s="158"/>
      <c r="AU101" s="158"/>
    </row>
    <row r="102" spans="3:47" s="1" customFormat="1" x14ac:dyDescent="0.25">
      <c r="C102" s="155">
        <v>98</v>
      </c>
      <c r="D102" s="156" t="s">
        <v>828</v>
      </c>
      <c r="E102" s="156" t="s">
        <v>1307</v>
      </c>
      <c r="F102" s="156" t="s">
        <v>390</v>
      </c>
      <c r="G102" s="156" t="s">
        <v>551</v>
      </c>
      <c r="H102" s="156" t="s">
        <v>2434</v>
      </c>
      <c r="I102" s="157" t="s">
        <v>2300</v>
      </c>
      <c r="J102" s="156" t="b">
        <v>1</v>
      </c>
      <c r="K102" s="156" t="b">
        <v>0</v>
      </c>
      <c r="L102" s="156" t="b">
        <v>0</v>
      </c>
      <c r="M102" s="156" t="b">
        <v>0</v>
      </c>
      <c r="N102" s="156"/>
      <c r="O102" s="156"/>
      <c r="P102" s="156" t="s">
        <v>2424</v>
      </c>
      <c r="Q102" s="156" t="s">
        <v>547</v>
      </c>
      <c r="R102" s="156" t="s">
        <v>391</v>
      </c>
      <c r="S102" s="157" t="s">
        <v>399</v>
      </c>
      <c r="T102" s="157" t="s">
        <v>400</v>
      </c>
      <c r="U102" s="157" t="s">
        <v>653</v>
      </c>
      <c r="V102" s="157" t="s">
        <v>399</v>
      </c>
      <c r="W102" s="157" t="s">
        <v>400</v>
      </c>
      <c r="X102" s="156" t="b">
        <v>0</v>
      </c>
      <c r="Y102" s="156" t="b">
        <v>0</v>
      </c>
      <c r="Z102" s="156" t="b">
        <v>0</v>
      </c>
      <c r="AA102" s="156" t="b">
        <v>0</v>
      </c>
      <c r="AB102" s="156"/>
      <c r="AC102" s="156" t="s">
        <v>2004</v>
      </c>
      <c r="AD102" s="156" t="s">
        <v>2342</v>
      </c>
      <c r="AE102" s="156" t="s">
        <v>401</v>
      </c>
      <c r="AF102" s="158" t="s">
        <v>402</v>
      </c>
      <c r="AG102" s="156"/>
      <c r="AH102" s="158"/>
      <c r="AI102" s="158"/>
      <c r="AJ102" s="158"/>
      <c r="AK102" s="158"/>
      <c r="AL102" s="158"/>
      <c r="AM102" s="158"/>
      <c r="AN102" s="158"/>
      <c r="AO102" s="158"/>
      <c r="AP102" s="158"/>
      <c r="AQ102" s="158"/>
      <c r="AR102" s="158"/>
      <c r="AS102" s="158"/>
      <c r="AT102" s="158"/>
      <c r="AU102" s="158"/>
    </row>
    <row r="103" spans="3:47" s="1" customFormat="1" x14ac:dyDescent="0.25">
      <c r="C103" s="155">
        <v>99</v>
      </c>
      <c r="D103" s="156" t="s">
        <v>828</v>
      </c>
      <c r="E103" s="156" t="s">
        <v>1307</v>
      </c>
      <c r="F103" s="156" t="s">
        <v>390</v>
      </c>
      <c r="G103" s="156" t="s">
        <v>551</v>
      </c>
      <c r="H103" s="156" t="s">
        <v>2434</v>
      </c>
      <c r="I103" s="157" t="s">
        <v>403</v>
      </c>
      <c r="J103" s="156" t="b">
        <v>1</v>
      </c>
      <c r="K103" s="156" t="b">
        <v>0</v>
      </c>
      <c r="L103" s="156" t="b">
        <v>0</v>
      </c>
      <c r="M103" s="156" t="b">
        <v>0</v>
      </c>
      <c r="N103" s="156"/>
      <c r="O103" s="156"/>
      <c r="P103" s="156" t="s">
        <v>2424</v>
      </c>
      <c r="Q103" s="156" t="s">
        <v>547</v>
      </c>
      <c r="R103" s="156" t="s">
        <v>391</v>
      </c>
      <c r="S103" s="157" t="s">
        <v>399</v>
      </c>
      <c r="T103" s="157" t="s">
        <v>404</v>
      </c>
      <c r="U103" s="157" t="s">
        <v>653</v>
      </c>
      <c r="V103" s="157" t="s">
        <v>399</v>
      </c>
      <c r="W103" s="157" t="s">
        <v>404</v>
      </c>
      <c r="X103" s="156" t="b">
        <v>0</v>
      </c>
      <c r="Y103" s="156" t="b">
        <v>0</v>
      </c>
      <c r="Z103" s="156" t="b">
        <v>0</v>
      </c>
      <c r="AA103" s="156" t="b">
        <v>0</v>
      </c>
      <c r="AB103" s="156"/>
      <c r="AC103" s="156" t="s">
        <v>405</v>
      </c>
      <c r="AD103" s="156" t="s">
        <v>2342</v>
      </c>
      <c r="AE103" s="156" t="s">
        <v>406</v>
      </c>
      <c r="AF103" s="158" t="s">
        <v>407</v>
      </c>
      <c r="AG103" s="156"/>
      <c r="AH103" s="158"/>
      <c r="AI103" s="158"/>
      <c r="AJ103" s="158"/>
      <c r="AK103" s="158"/>
      <c r="AL103" s="158"/>
      <c r="AM103" s="158"/>
      <c r="AN103" s="158"/>
      <c r="AO103" s="158"/>
      <c r="AP103" s="158"/>
      <c r="AQ103" s="158"/>
      <c r="AR103" s="158"/>
      <c r="AS103" s="158"/>
      <c r="AT103" s="158"/>
      <c r="AU103" s="158"/>
    </row>
    <row r="104" spans="3:47" s="1" customFormat="1" x14ac:dyDescent="0.25">
      <c r="C104" s="155">
        <v>100</v>
      </c>
      <c r="D104" s="156" t="s">
        <v>828</v>
      </c>
      <c r="E104" s="156" t="s">
        <v>1307</v>
      </c>
      <c r="F104" s="156" t="s">
        <v>2364</v>
      </c>
      <c r="G104" s="156" t="s">
        <v>551</v>
      </c>
      <c r="H104" s="156" t="s">
        <v>936</v>
      </c>
      <c r="I104" s="157" t="s">
        <v>1952</v>
      </c>
      <c r="J104" s="156" t="b">
        <v>1</v>
      </c>
      <c r="K104" s="156" t="b">
        <v>0</v>
      </c>
      <c r="L104" s="156" t="b">
        <v>0</v>
      </c>
      <c r="M104" s="156" t="b">
        <v>0</v>
      </c>
      <c r="N104" s="156"/>
      <c r="O104" s="156"/>
      <c r="P104" s="156" t="s">
        <v>2424</v>
      </c>
      <c r="Q104" s="156" t="s">
        <v>547</v>
      </c>
      <c r="R104" s="156" t="s">
        <v>1953</v>
      </c>
      <c r="S104" s="157" t="s">
        <v>1954</v>
      </c>
      <c r="T104" s="157" t="s">
        <v>1955</v>
      </c>
      <c r="U104" s="157" t="s">
        <v>653</v>
      </c>
      <c r="V104" s="157" t="s">
        <v>1954</v>
      </c>
      <c r="W104" s="157" t="s">
        <v>1955</v>
      </c>
      <c r="X104" s="156" t="b">
        <v>0</v>
      </c>
      <c r="Y104" s="156" t="b">
        <v>0</v>
      </c>
      <c r="Z104" s="156" t="b">
        <v>0</v>
      </c>
      <c r="AA104" s="156" t="b">
        <v>0</v>
      </c>
      <c r="AB104" s="156"/>
      <c r="AC104" s="156" t="s">
        <v>864</v>
      </c>
      <c r="AD104" s="156" t="s">
        <v>2342</v>
      </c>
      <c r="AE104" s="156" t="s">
        <v>1956</v>
      </c>
      <c r="AF104" s="158" t="s">
        <v>1957</v>
      </c>
      <c r="AG104" s="156"/>
      <c r="AH104" s="158"/>
      <c r="AI104" s="158"/>
      <c r="AJ104" s="158"/>
      <c r="AK104" s="158"/>
      <c r="AL104" s="158"/>
      <c r="AM104" s="158"/>
      <c r="AN104" s="158"/>
      <c r="AO104" s="158"/>
      <c r="AP104" s="158"/>
      <c r="AQ104" s="158"/>
      <c r="AR104" s="158"/>
      <c r="AS104" s="158"/>
      <c r="AT104" s="158"/>
      <c r="AU104" s="158"/>
    </row>
    <row r="105" spans="3:47" s="1" customFormat="1" x14ac:dyDescent="0.25">
      <c r="C105" s="155">
        <v>101</v>
      </c>
      <c r="D105" s="156" t="s">
        <v>828</v>
      </c>
      <c r="E105" s="156" t="s">
        <v>1307</v>
      </c>
      <c r="F105" s="156" t="s">
        <v>2354</v>
      </c>
      <c r="G105" s="156" t="s">
        <v>551</v>
      </c>
      <c r="H105" s="156" t="s">
        <v>49</v>
      </c>
      <c r="I105" s="157" t="s">
        <v>642</v>
      </c>
      <c r="J105" s="156" t="b">
        <v>1</v>
      </c>
      <c r="K105" s="156" t="b">
        <v>0</v>
      </c>
      <c r="L105" s="156" t="b">
        <v>0</v>
      </c>
      <c r="M105" s="156" t="b">
        <v>0</v>
      </c>
      <c r="N105" s="156"/>
      <c r="O105" s="156" t="s">
        <v>1999</v>
      </c>
      <c r="P105" s="156" t="s">
        <v>2424</v>
      </c>
      <c r="Q105" s="156" t="s">
        <v>547</v>
      </c>
      <c r="R105" s="156" t="s">
        <v>643</v>
      </c>
      <c r="S105" s="157" t="s">
        <v>644</v>
      </c>
      <c r="T105" s="157" t="s">
        <v>645</v>
      </c>
      <c r="U105" s="157" t="s">
        <v>655</v>
      </c>
      <c r="V105" s="157" t="s">
        <v>644</v>
      </c>
      <c r="W105" s="157" t="s">
        <v>645</v>
      </c>
      <c r="X105" s="156" t="b">
        <v>0</v>
      </c>
      <c r="Y105" s="156" t="b">
        <v>0</v>
      </c>
      <c r="Z105" s="156" t="b">
        <v>0</v>
      </c>
      <c r="AA105" s="156" t="b">
        <v>0</v>
      </c>
      <c r="AB105" s="156"/>
      <c r="AC105" s="156" t="s">
        <v>646</v>
      </c>
      <c r="AD105" s="156" t="s">
        <v>2342</v>
      </c>
      <c r="AE105" s="156" t="s">
        <v>2752</v>
      </c>
      <c r="AF105" s="158" t="s">
        <v>1619</v>
      </c>
      <c r="AG105" s="156"/>
      <c r="AH105" s="158"/>
      <c r="AI105" s="158"/>
      <c r="AJ105" s="158"/>
      <c r="AK105" s="158"/>
      <c r="AL105" s="158"/>
      <c r="AM105" s="158"/>
      <c r="AN105" s="158"/>
      <c r="AO105" s="158"/>
      <c r="AP105" s="158"/>
      <c r="AQ105" s="158"/>
      <c r="AR105" s="158"/>
      <c r="AS105" s="158"/>
      <c r="AT105" s="158"/>
      <c r="AU105" s="158"/>
    </row>
    <row r="106" spans="3:47" s="1" customFormat="1" x14ac:dyDescent="0.25">
      <c r="C106" s="155">
        <v>102</v>
      </c>
      <c r="D106" s="156" t="s">
        <v>828</v>
      </c>
      <c r="E106" s="156" t="s">
        <v>1307</v>
      </c>
      <c r="F106" s="156" t="s">
        <v>550</v>
      </c>
      <c r="G106" s="156" t="s">
        <v>551</v>
      </c>
      <c r="H106" s="156" t="s">
        <v>2273</v>
      </c>
      <c r="I106" s="157" t="s">
        <v>2274</v>
      </c>
      <c r="J106" s="156" t="b">
        <v>1</v>
      </c>
      <c r="K106" s="156" t="b">
        <v>0</v>
      </c>
      <c r="L106" s="156" t="b">
        <v>0</v>
      </c>
      <c r="M106" s="156" t="b">
        <v>0</v>
      </c>
      <c r="N106" s="156"/>
      <c r="O106" s="156" t="s">
        <v>1999</v>
      </c>
      <c r="P106" s="156" t="s">
        <v>2424</v>
      </c>
      <c r="Q106" s="156"/>
      <c r="R106" s="156" t="s">
        <v>2275</v>
      </c>
      <c r="S106" s="157" t="s">
        <v>2276</v>
      </c>
      <c r="T106" s="157" t="s">
        <v>2277</v>
      </c>
      <c r="U106" s="157" t="s">
        <v>552</v>
      </c>
      <c r="V106" s="157" t="s">
        <v>2276</v>
      </c>
      <c r="W106" s="157" t="s">
        <v>2277</v>
      </c>
      <c r="X106" s="156" t="b">
        <v>0</v>
      </c>
      <c r="Y106" s="156" t="b">
        <v>0</v>
      </c>
      <c r="Z106" s="156" t="b">
        <v>0</v>
      </c>
      <c r="AA106" s="156" t="b">
        <v>0</v>
      </c>
      <c r="AB106" s="156"/>
      <c r="AC106" s="156" t="s">
        <v>2278</v>
      </c>
      <c r="AD106" s="156" t="s">
        <v>651</v>
      </c>
      <c r="AE106" s="156" t="s">
        <v>2279</v>
      </c>
      <c r="AF106" s="158" t="s">
        <v>1619</v>
      </c>
      <c r="AG106" s="156"/>
      <c r="AH106" s="158"/>
      <c r="AI106" s="158"/>
      <c r="AJ106" s="158"/>
      <c r="AK106" s="158"/>
      <c r="AL106" s="158"/>
      <c r="AM106" s="158"/>
      <c r="AN106" s="158"/>
      <c r="AO106" s="158"/>
      <c r="AP106" s="158"/>
      <c r="AQ106" s="158"/>
      <c r="AR106" s="158"/>
      <c r="AS106" s="158"/>
      <c r="AT106" s="158"/>
      <c r="AU106" s="158"/>
    </row>
    <row r="107" spans="3:47" s="1" customFormat="1" x14ac:dyDescent="0.25">
      <c r="C107" s="155">
        <v>103</v>
      </c>
      <c r="D107" s="156" t="s">
        <v>828</v>
      </c>
      <c r="E107" s="156" t="s">
        <v>1307</v>
      </c>
      <c r="F107" s="156" t="s">
        <v>940</v>
      </c>
      <c r="G107" s="156" t="s">
        <v>551</v>
      </c>
      <c r="H107" s="156" t="s">
        <v>1010</v>
      </c>
      <c r="I107" s="157" t="s">
        <v>2877</v>
      </c>
      <c r="J107" s="156" t="b">
        <v>1</v>
      </c>
      <c r="K107" s="156" t="b">
        <v>0</v>
      </c>
      <c r="L107" s="156" t="b">
        <v>0</v>
      </c>
      <c r="M107" s="156" t="b">
        <v>0</v>
      </c>
      <c r="N107" s="156"/>
      <c r="O107" s="156" t="s">
        <v>479</v>
      </c>
      <c r="P107" s="156" t="s">
        <v>2424</v>
      </c>
      <c r="Q107" s="156"/>
      <c r="R107" s="156" t="s">
        <v>1346</v>
      </c>
      <c r="S107" s="157" t="s">
        <v>941</v>
      </c>
      <c r="T107" s="157" t="s">
        <v>942</v>
      </c>
      <c r="U107" s="157" t="s">
        <v>552</v>
      </c>
      <c r="V107" s="157" t="s">
        <v>941</v>
      </c>
      <c r="W107" s="157" t="s">
        <v>942</v>
      </c>
      <c r="X107" s="156" t="b">
        <v>0</v>
      </c>
      <c r="Y107" s="156" t="b">
        <v>0</v>
      </c>
      <c r="Z107" s="156" t="b">
        <v>0</v>
      </c>
      <c r="AA107" s="156" t="b">
        <v>0</v>
      </c>
      <c r="AB107" s="156"/>
      <c r="AC107" s="156" t="s">
        <v>943</v>
      </c>
      <c r="AD107" s="156" t="s">
        <v>2342</v>
      </c>
      <c r="AE107" s="156" t="s">
        <v>944</v>
      </c>
      <c r="AF107" s="158" t="s">
        <v>1672</v>
      </c>
      <c r="AG107" s="156"/>
      <c r="AH107" s="158"/>
      <c r="AI107" s="158"/>
      <c r="AJ107" s="158"/>
      <c r="AK107" s="158"/>
      <c r="AL107" s="158"/>
      <c r="AM107" s="158"/>
      <c r="AN107" s="158"/>
      <c r="AO107" s="158"/>
      <c r="AP107" s="158"/>
      <c r="AQ107" s="158"/>
      <c r="AR107" s="158"/>
      <c r="AS107" s="158"/>
      <c r="AT107" s="158"/>
      <c r="AU107" s="158"/>
    </row>
    <row r="108" spans="3:47" s="1" customFormat="1" x14ac:dyDescent="0.25">
      <c r="C108" s="155">
        <v>104</v>
      </c>
      <c r="D108" s="156" t="s">
        <v>934</v>
      </c>
      <c r="E108" s="156" t="s">
        <v>1037</v>
      </c>
      <c r="F108" s="156" t="s">
        <v>2388</v>
      </c>
      <c r="G108" s="156" t="s">
        <v>551</v>
      </c>
      <c r="H108" s="156" t="s">
        <v>2589</v>
      </c>
      <c r="I108" s="157" t="s">
        <v>2590</v>
      </c>
      <c r="J108" s="156" t="b">
        <v>1</v>
      </c>
      <c r="K108" s="156" t="b">
        <v>0</v>
      </c>
      <c r="L108" s="156" t="b">
        <v>0</v>
      </c>
      <c r="M108" s="156" t="b">
        <v>0</v>
      </c>
      <c r="N108" s="156"/>
      <c r="O108" s="156" t="s">
        <v>1827</v>
      </c>
      <c r="P108" s="156" t="s">
        <v>2424</v>
      </c>
      <c r="Q108" s="156" t="s">
        <v>547</v>
      </c>
      <c r="R108" s="156" t="s">
        <v>2591</v>
      </c>
      <c r="S108" s="157" t="s">
        <v>2592</v>
      </c>
      <c r="T108" s="157" t="s">
        <v>2593</v>
      </c>
      <c r="U108" s="157" t="s">
        <v>655</v>
      </c>
      <c r="V108" s="157" t="s">
        <v>2592</v>
      </c>
      <c r="W108" s="157" t="s">
        <v>2593</v>
      </c>
      <c r="X108" s="156" t="b">
        <v>0</v>
      </c>
      <c r="Y108" s="156" t="b">
        <v>0</v>
      </c>
      <c r="Z108" s="156" t="b">
        <v>0</v>
      </c>
      <c r="AA108" s="156" t="b">
        <v>0</v>
      </c>
      <c r="AB108" s="156"/>
      <c r="AC108" s="156" t="s">
        <v>2594</v>
      </c>
      <c r="AD108" s="156" t="s">
        <v>2342</v>
      </c>
      <c r="AE108" s="156" t="s">
        <v>2595</v>
      </c>
      <c r="AF108" s="158" t="s">
        <v>284</v>
      </c>
      <c r="AG108" s="156"/>
      <c r="AH108" s="158"/>
      <c r="AI108" s="158"/>
      <c r="AJ108" s="158"/>
      <c r="AK108" s="158"/>
      <c r="AL108" s="158"/>
      <c r="AM108" s="158"/>
      <c r="AN108" s="158"/>
      <c r="AO108" s="158"/>
      <c r="AP108" s="158"/>
      <c r="AQ108" s="158"/>
      <c r="AR108" s="158"/>
      <c r="AS108" s="158"/>
      <c r="AT108" s="158"/>
      <c r="AU108" s="158"/>
    </row>
    <row r="109" spans="3:47" s="1" customFormat="1" x14ac:dyDescent="0.25">
      <c r="C109" s="155">
        <v>105</v>
      </c>
      <c r="D109" s="156" t="s">
        <v>934</v>
      </c>
      <c r="E109" s="156" t="s">
        <v>1037</v>
      </c>
      <c r="F109" s="156" t="s">
        <v>2388</v>
      </c>
      <c r="G109" s="156" t="s">
        <v>551</v>
      </c>
      <c r="H109" s="156" t="s">
        <v>1187</v>
      </c>
      <c r="I109" s="157" t="s">
        <v>1188</v>
      </c>
      <c r="J109" s="156" t="b">
        <v>1</v>
      </c>
      <c r="K109" s="156" t="b">
        <v>0</v>
      </c>
      <c r="L109" s="156" t="b">
        <v>0</v>
      </c>
      <c r="M109" s="156" t="b">
        <v>0</v>
      </c>
      <c r="N109" s="156"/>
      <c r="O109" s="156"/>
      <c r="P109" s="156" t="s">
        <v>2424</v>
      </c>
      <c r="Q109" s="156" t="s">
        <v>548</v>
      </c>
      <c r="R109" s="156" t="s">
        <v>1012</v>
      </c>
      <c r="S109" s="157" t="s">
        <v>1189</v>
      </c>
      <c r="T109" s="157" t="s">
        <v>1190</v>
      </c>
      <c r="U109" s="157" t="s">
        <v>655</v>
      </c>
      <c r="V109" s="157" t="s">
        <v>1189</v>
      </c>
      <c r="W109" s="157" t="s">
        <v>1190</v>
      </c>
      <c r="X109" s="156" t="b">
        <v>0</v>
      </c>
      <c r="Y109" s="156" t="b">
        <v>0</v>
      </c>
      <c r="Z109" s="156" t="b">
        <v>0</v>
      </c>
      <c r="AA109" s="156" t="b">
        <v>0</v>
      </c>
      <c r="AB109" s="156"/>
      <c r="AC109" s="156" t="s">
        <v>405</v>
      </c>
      <c r="AD109" s="156" t="s">
        <v>2342</v>
      </c>
      <c r="AE109" s="156" t="s">
        <v>1209</v>
      </c>
      <c r="AF109" s="158" t="s">
        <v>1191</v>
      </c>
      <c r="AG109" s="156"/>
      <c r="AH109" s="158"/>
      <c r="AI109" s="158"/>
      <c r="AJ109" s="158"/>
      <c r="AK109" s="158"/>
      <c r="AL109" s="158"/>
      <c r="AM109" s="158"/>
      <c r="AN109" s="158"/>
      <c r="AO109" s="158"/>
      <c r="AP109" s="158"/>
      <c r="AQ109" s="158"/>
      <c r="AR109" s="158"/>
      <c r="AS109" s="158"/>
      <c r="AT109" s="158"/>
      <c r="AU109" s="158"/>
    </row>
    <row r="110" spans="3:47" s="1" customFormat="1" x14ac:dyDescent="0.25">
      <c r="C110" s="155">
        <v>106</v>
      </c>
      <c r="D110" s="156" t="s">
        <v>934</v>
      </c>
      <c r="E110" s="156" t="s">
        <v>1037</v>
      </c>
      <c r="F110" s="156" t="s">
        <v>2388</v>
      </c>
      <c r="G110" s="156" t="s">
        <v>551</v>
      </c>
      <c r="H110" s="156" t="s">
        <v>1187</v>
      </c>
      <c r="I110" s="157" t="s">
        <v>1192</v>
      </c>
      <c r="J110" s="156" t="b">
        <v>0</v>
      </c>
      <c r="K110" s="156" t="b">
        <v>0</v>
      </c>
      <c r="L110" s="156" t="b">
        <v>0</v>
      </c>
      <c r="M110" s="156" t="b">
        <v>0</v>
      </c>
      <c r="N110" s="156"/>
      <c r="O110" s="156" t="s">
        <v>1827</v>
      </c>
      <c r="P110" s="156" t="s">
        <v>2424</v>
      </c>
      <c r="Q110" s="156" t="s">
        <v>547</v>
      </c>
      <c r="R110" s="156" t="s">
        <v>1012</v>
      </c>
      <c r="S110" s="157" t="s">
        <v>1189</v>
      </c>
      <c r="T110" s="157" t="s">
        <v>1193</v>
      </c>
      <c r="U110" s="157" t="s">
        <v>655</v>
      </c>
      <c r="V110" s="157" t="s">
        <v>1189</v>
      </c>
      <c r="W110" s="157" t="s">
        <v>1193</v>
      </c>
      <c r="X110" s="156" t="b">
        <v>0</v>
      </c>
      <c r="Y110" s="156" t="b">
        <v>0</v>
      </c>
      <c r="Z110" s="156" t="b">
        <v>0</v>
      </c>
      <c r="AA110" s="156" t="b">
        <v>0</v>
      </c>
      <c r="AB110" s="156"/>
      <c r="AC110" s="156" t="s">
        <v>405</v>
      </c>
      <c r="AD110" s="156" t="s">
        <v>2342</v>
      </c>
      <c r="AE110" s="156" t="s">
        <v>1194</v>
      </c>
      <c r="AF110" s="158" t="s">
        <v>284</v>
      </c>
      <c r="AG110" s="156"/>
      <c r="AH110" s="158"/>
      <c r="AI110" s="158"/>
      <c r="AJ110" s="158"/>
      <c r="AK110" s="158"/>
      <c r="AL110" s="158"/>
      <c r="AM110" s="158"/>
      <c r="AN110" s="158"/>
      <c r="AO110" s="158"/>
      <c r="AP110" s="158"/>
      <c r="AQ110" s="158"/>
      <c r="AR110" s="158"/>
      <c r="AS110" s="158"/>
      <c r="AT110" s="158"/>
      <c r="AU110" s="158"/>
    </row>
    <row r="111" spans="3:47" s="1" customFormat="1" x14ac:dyDescent="0.25">
      <c r="C111" s="155">
        <v>107</v>
      </c>
      <c r="D111" s="156" t="s">
        <v>934</v>
      </c>
      <c r="E111" s="156" t="s">
        <v>1037</v>
      </c>
      <c r="F111" s="156" t="s">
        <v>2375</v>
      </c>
      <c r="G111" s="156" t="s">
        <v>551</v>
      </c>
      <c r="H111" s="156" t="s">
        <v>1187</v>
      </c>
      <c r="I111" s="157" t="s">
        <v>1345</v>
      </c>
      <c r="J111" s="156" t="b">
        <v>1</v>
      </c>
      <c r="K111" s="156" t="b">
        <v>0</v>
      </c>
      <c r="L111" s="156" t="b">
        <v>0</v>
      </c>
      <c r="M111" s="156" t="b">
        <v>0</v>
      </c>
      <c r="N111" s="156"/>
      <c r="O111" s="156"/>
      <c r="P111" s="156" t="s">
        <v>2424</v>
      </c>
      <c r="Q111" s="156" t="s">
        <v>547</v>
      </c>
      <c r="R111" s="156" t="s">
        <v>1012</v>
      </c>
      <c r="S111" s="157" t="s">
        <v>1189</v>
      </c>
      <c r="T111" s="157" t="s">
        <v>1354</v>
      </c>
      <c r="U111" s="157" t="s">
        <v>655</v>
      </c>
      <c r="V111" s="157" t="s">
        <v>1189</v>
      </c>
      <c r="W111" s="157" t="s">
        <v>1354</v>
      </c>
      <c r="X111" s="156" t="b">
        <v>0</v>
      </c>
      <c r="Y111" s="156" t="b">
        <v>0</v>
      </c>
      <c r="Z111" s="156" t="b">
        <v>0</v>
      </c>
      <c r="AA111" s="156" t="b">
        <v>0</v>
      </c>
      <c r="AB111" s="156"/>
      <c r="AC111" s="156" t="s">
        <v>1195</v>
      </c>
      <c r="AD111" s="156" t="s">
        <v>2348</v>
      </c>
      <c r="AE111" s="156" t="s">
        <v>651</v>
      </c>
      <c r="AF111" s="158" t="s">
        <v>651</v>
      </c>
      <c r="AG111" s="156"/>
      <c r="AH111" s="158"/>
      <c r="AI111" s="158"/>
      <c r="AJ111" s="158"/>
      <c r="AK111" s="158"/>
      <c r="AL111" s="158"/>
      <c r="AM111" s="158"/>
      <c r="AN111" s="158"/>
      <c r="AO111" s="158"/>
      <c r="AP111" s="158"/>
      <c r="AQ111" s="158"/>
      <c r="AR111" s="158"/>
      <c r="AS111" s="158"/>
      <c r="AT111" s="158"/>
      <c r="AU111" s="158"/>
    </row>
    <row r="112" spans="3:47" s="1" customFormat="1" x14ac:dyDescent="0.25">
      <c r="C112" s="155">
        <v>108</v>
      </c>
      <c r="D112" s="156" t="s">
        <v>828</v>
      </c>
      <c r="E112" s="156" t="s">
        <v>1307</v>
      </c>
      <c r="F112" s="156" t="s">
        <v>2373</v>
      </c>
      <c r="G112" s="156" t="s">
        <v>551</v>
      </c>
      <c r="H112" s="156" t="s">
        <v>2872</v>
      </c>
      <c r="I112" s="157" t="s">
        <v>2873</v>
      </c>
      <c r="J112" s="156" t="b">
        <v>1</v>
      </c>
      <c r="K112" s="156" t="b">
        <v>0</v>
      </c>
      <c r="L112" s="156" t="b">
        <v>0</v>
      </c>
      <c r="M112" s="156" t="b">
        <v>0</v>
      </c>
      <c r="N112" s="156"/>
      <c r="O112" s="156" t="s">
        <v>415</v>
      </c>
      <c r="P112" s="156" t="s">
        <v>2424</v>
      </c>
      <c r="Q112" s="156" t="s">
        <v>547</v>
      </c>
      <c r="R112" s="156" t="s">
        <v>1781</v>
      </c>
      <c r="S112" s="157" t="s">
        <v>2874</v>
      </c>
      <c r="T112" s="157" t="s">
        <v>2875</v>
      </c>
      <c r="U112" s="157" t="s">
        <v>552</v>
      </c>
      <c r="V112" s="157" t="s">
        <v>2874</v>
      </c>
      <c r="W112" s="157" t="s">
        <v>2875</v>
      </c>
      <c r="X112" s="156" t="b">
        <v>0</v>
      </c>
      <c r="Y112" s="156" t="b">
        <v>0</v>
      </c>
      <c r="Z112" s="156" t="b">
        <v>0</v>
      </c>
      <c r="AA112" s="156" t="b">
        <v>0</v>
      </c>
      <c r="AB112" s="156"/>
      <c r="AC112" s="156" t="s">
        <v>132</v>
      </c>
      <c r="AD112" s="156" t="s">
        <v>2343</v>
      </c>
      <c r="AE112" s="156" t="s">
        <v>2876</v>
      </c>
      <c r="AF112" s="158" t="s">
        <v>207</v>
      </c>
      <c r="AG112" s="156"/>
      <c r="AH112" s="158"/>
      <c r="AI112" s="158"/>
      <c r="AJ112" s="158"/>
      <c r="AK112" s="158"/>
      <c r="AL112" s="158"/>
      <c r="AM112" s="158"/>
      <c r="AN112" s="158"/>
      <c r="AO112" s="158"/>
      <c r="AP112" s="158"/>
      <c r="AQ112" s="158"/>
      <c r="AR112" s="158"/>
      <c r="AS112" s="158"/>
      <c r="AT112" s="158"/>
      <c r="AU112" s="158"/>
    </row>
    <row r="113" spans="3:47" s="1" customFormat="1" x14ac:dyDescent="0.25">
      <c r="C113" s="155">
        <v>109</v>
      </c>
      <c r="D113" s="156" t="s">
        <v>1435</v>
      </c>
      <c r="E113" s="156"/>
      <c r="F113" s="156"/>
      <c r="G113" s="156" t="s">
        <v>551</v>
      </c>
      <c r="H113" s="156" t="s">
        <v>1436</v>
      </c>
      <c r="I113" s="157" t="s">
        <v>1437</v>
      </c>
      <c r="J113" s="156" t="b">
        <v>1</v>
      </c>
      <c r="K113" s="156" t="b">
        <v>0</v>
      </c>
      <c r="L113" s="156" t="b">
        <v>0</v>
      </c>
      <c r="M113" s="156" t="b">
        <v>0</v>
      </c>
      <c r="N113" s="156"/>
      <c r="O113" s="156" t="s">
        <v>1438</v>
      </c>
      <c r="P113" s="156"/>
      <c r="Q113" s="156"/>
      <c r="R113" s="156" t="s">
        <v>1439</v>
      </c>
      <c r="S113" s="157" t="s">
        <v>1440</v>
      </c>
      <c r="T113" s="157" t="s">
        <v>1441</v>
      </c>
      <c r="U113" s="157" t="s">
        <v>700</v>
      </c>
      <c r="V113" s="157" t="s">
        <v>1440</v>
      </c>
      <c r="W113" s="157" t="s">
        <v>1441</v>
      </c>
      <c r="X113" s="156" t="b">
        <v>0</v>
      </c>
      <c r="Y113" s="156" t="b">
        <v>0</v>
      </c>
      <c r="Z113" s="156" t="b">
        <v>0</v>
      </c>
      <c r="AA113" s="156" t="b">
        <v>0</v>
      </c>
      <c r="AB113" s="156"/>
      <c r="AC113" s="156" t="s">
        <v>1442</v>
      </c>
      <c r="AD113" s="156" t="s">
        <v>651</v>
      </c>
      <c r="AE113" s="156" t="s">
        <v>1443</v>
      </c>
      <c r="AF113" s="158" t="s">
        <v>1444</v>
      </c>
      <c r="AG113" s="156"/>
      <c r="AH113" s="158"/>
      <c r="AI113" s="158"/>
      <c r="AJ113" s="158"/>
      <c r="AK113" s="158"/>
      <c r="AL113" s="158"/>
      <c r="AM113" s="158"/>
      <c r="AN113" s="158"/>
      <c r="AO113" s="158"/>
      <c r="AP113" s="158"/>
      <c r="AQ113" s="158"/>
      <c r="AR113" s="158"/>
      <c r="AS113" s="158"/>
      <c r="AT113" s="158"/>
      <c r="AU113" s="158"/>
    </row>
    <row r="114" spans="3:47" s="1" customFormat="1" x14ac:dyDescent="0.25">
      <c r="C114" s="155">
        <v>110</v>
      </c>
      <c r="D114" s="156" t="s">
        <v>828</v>
      </c>
      <c r="E114" s="156" t="s">
        <v>1307</v>
      </c>
      <c r="F114" s="156" t="s">
        <v>2388</v>
      </c>
      <c r="G114" s="156" t="s">
        <v>551</v>
      </c>
      <c r="H114" s="156" t="s">
        <v>2644</v>
      </c>
      <c r="I114" s="157" t="s">
        <v>1680</v>
      </c>
      <c r="J114" s="156" t="b">
        <v>1</v>
      </c>
      <c r="K114" s="156" t="b">
        <v>0</v>
      </c>
      <c r="L114" s="156" t="b">
        <v>0</v>
      </c>
      <c r="M114" s="156" t="b">
        <v>0</v>
      </c>
      <c r="N114" s="156"/>
      <c r="O114" s="156"/>
      <c r="P114" s="156" t="s">
        <v>2424</v>
      </c>
      <c r="Q114" s="156"/>
      <c r="R114" s="156" t="s">
        <v>2427</v>
      </c>
      <c r="S114" s="157" t="s">
        <v>1681</v>
      </c>
      <c r="T114" s="157" t="s">
        <v>1682</v>
      </c>
      <c r="U114" s="157" t="s">
        <v>655</v>
      </c>
      <c r="V114" s="157" t="s">
        <v>1681</v>
      </c>
      <c r="W114" s="157" t="s">
        <v>1682</v>
      </c>
      <c r="X114" s="156" t="b">
        <v>0</v>
      </c>
      <c r="Y114" s="156" t="b">
        <v>0</v>
      </c>
      <c r="Z114" s="156" t="b">
        <v>0</v>
      </c>
      <c r="AA114" s="156" t="b">
        <v>0</v>
      </c>
      <c r="AB114" s="156"/>
      <c r="AC114" s="156" t="s">
        <v>1683</v>
      </c>
      <c r="AD114" s="156" t="s">
        <v>2314</v>
      </c>
      <c r="AE114" s="156" t="s">
        <v>1684</v>
      </c>
      <c r="AF114" s="158" t="s">
        <v>1685</v>
      </c>
      <c r="AG114" s="156"/>
      <c r="AH114" s="158"/>
      <c r="AI114" s="158"/>
      <c r="AJ114" s="158"/>
      <c r="AK114" s="158"/>
      <c r="AL114" s="158"/>
      <c r="AM114" s="158"/>
      <c r="AN114" s="158"/>
      <c r="AO114" s="158"/>
      <c r="AP114" s="158"/>
      <c r="AQ114" s="158"/>
      <c r="AR114" s="158"/>
      <c r="AS114" s="158"/>
      <c r="AT114" s="158"/>
      <c r="AU114" s="158"/>
    </row>
    <row r="115" spans="3:47" s="1" customFormat="1" x14ac:dyDescent="0.25">
      <c r="C115" s="155">
        <v>111</v>
      </c>
      <c r="D115" s="156" t="s">
        <v>934</v>
      </c>
      <c r="E115" s="156" t="s">
        <v>1037</v>
      </c>
      <c r="F115" s="156" t="s">
        <v>2388</v>
      </c>
      <c r="G115" s="156" t="s">
        <v>551</v>
      </c>
      <c r="H115" s="156" t="s">
        <v>392</v>
      </c>
      <c r="I115" s="157" t="s">
        <v>393</v>
      </c>
      <c r="J115" s="156" t="b">
        <v>1</v>
      </c>
      <c r="K115" s="156" t="b">
        <v>0</v>
      </c>
      <c r="L115" s="156" t="b">
        <v>0</v>
      </c>
      <c r="M115" s="156" t="b">
        <v>0</v>
      </c>
      <c r="N115" s="156"/>
      <c r="O115" s="156"/>
      <c r="P115" s="156" t="s">
        <v>2424</v>
      </c>
      <c r="Q115" s="156" t="s">
        <v>394</v>
      </c>
      <c r="R115" s="156" t="s">
        <v>395</v>
      </c>
      <c r="S115" s="157" t="s">
        <v>396</v>
      </c>
      <c r="T115" s="157" t="s">
        <v>397</v>
      </c>
      <c r="U115" s="157" t="s">
        <v>653</v>
      </c>
      <c r="V115" s="157" t="s">
        <v>396</v>
      </c>
      <c r="W115" s="157" t="s">
        <v>397</v>
      </c>
      <c r="X115" s="156" t="b">
        <v>0</v>
      </c>
      <c r="Y115" s="156" t="b">
        <v>0</v>
      </c>
      <c r="Z115" s="156" t="b">
        <v>0</v>
      </c>
      <c r="AA115" s="156" t="b">
        <v>0</v>
      </c>
      <c r="AB115" s="156"/>
      <c r="AC115" s="156" t="s">
        <v>398</v>
      </c>
      <c r="AD115" s="156" t="s">
        <v>2342</v>
      </c>
      <c r="AE115" s="156" t="s">
        <v>651</v>
      </c>
      <c r="AF115" s="158" t="s">
        <v>651</v>
      </c>
      <c r="AG115" s="156"/>
      <c r="AH115" s="158"/>
      <c r="AI115" s="158"/>
      <c r="AJ115" s="158"/>
      <c r="AK115" s="158"/>
      <c r="AL115" s="158"/>
      <c r="AM115" s="158"/>
      <c r="AN115" s="158"/>
      <c r="AO115" s="158"/>
      <c r="AP115" s="158"/>
      <c r="AQ115" s="158"/>
      <c r="AR115" s="158"/>
      <c r="AS115" s="158"/>
      <c r="AT115" s="158"/>
      <c r="AU115" s="158"/>
    </row>
    <row r="116" spans="3:47" s="1" customFormat="1" x14ac:dyDescent="0.25">
      <c r="C116" s="155">
        <v>112</v>
      </c>
      <c r="D116" s="156" t="s">
        <v>828</v>
      </c>
      <c r="E116" s="156" t="s">
        <v>1307</v>
      </c>
      <c r="F116" s="156" t="s">
        <v>2419</v>
      </c>
      <c r="G116" s="156" t="s">
        <v>551</v>
      </c>
      <c r="H116" s="156" t="s">
        <v>592</v>
      </c>
      <c r="I116" s="157" t="s">
        <v>593</v>
      </c>
      <c r="J116" s="156" t="b">
        <v>1</v>
      </c>
      <c r="K116" s="156" t="b">
        <v>0</v>
      </c>
      <c r="L116" s="156" t="b">
        <v>0</v>
      </c>
      <c r="M116" s="156" t="b">
        <v>0</v>
      </c>
      <c r="N116" s="156"/>
      <c r="O116" s="156" t="s">
        <v>594</v>
      </c>
      <c r="P116" s="156" t="s">
        <v>2424</v>
      </c>
      <c r="Q116" s="156" t="s">
        <v>547</v>
      </c>
      <c r="R116" s="156"/>
      <c r="S116" s="157" t="s">
        <v>595</v>
      </c>
      <c r="T116" s="157" t="s">
        <v>596</v>
      </c>
      <c r="U116" s="157" t="s">
        <v>651</v>
      </c>
      <c r="V116" s="157" t="s">
        <v>595</v>
      </c>
      <c r="W116" s="157" t="s">
        <v>596</v>
      </c>
      <c r="X116" s="156" t="b">
        <v>0</v>
      </c>
      <c r="Y116" s="156" t="b">
        <v>0</v>
      </c>
      <c r="Z116" s="156" t="b">
        <v>0</v>
      </c>
      <c r="AA116" s="156" t="b">
        <v>0</v>
      </c>
      <c r="AB116" s="156"/>
      <c r="AC116" s="156" t="s">
        <v>597</v>
      </c>
      <c r="AD116" s="156" t="s">
        <v>2342</v>
      </c>
      <c r="AE116" s="156" t="s">
        <v>1210</v>
      </c>
      <c r="AF116" s="158" t="s">
        <v>1865</v>
      </c>
      <c r="AG116" s="156"/>
      <c r="AH116" s="158"/>
      <c r="AI116" s="158"/>
      <c r="AJ116" s="158"/>
      <c r="AK116" s="158"/>
      <c r="AL116" s="158"/>
      <c r="AM116" s="158"/>
      <c r="AN116" s="158"/>
      <c r="AO116" s="158"/>
      <c r="AP116" s="158"/>
      <c r="AQ116" s="158"/>
      <c r="AR116" s="158"/>
      <c r="AS116" s="158"/>
      <c r="AT116" s="158"/>
      <c r="AU116" s="158"/>
    </row>
    <row r="117" spans="3:47" s="1" customFormat="1" x14ac:dyDescent="0.25">
      <c r="C117" s="155">
        <v>113</v>
      </c>
      <c r="D117" s="156" t="s">
        <v>828</v>
      </c>
      <c r="E117" s="156" t="s">
        <v>1307</v>
      </c>
      <c r="F117" s="156" t="s">
        <v>2379</v>
      </c>
      <c r="G117" s="156" t="s">
        <v>551</v>
      </c>
      <c r="H117" s="156" t="s">
        <v>1010</v>
      </c>
      <c r="I117" s="157" t="s">
        <v>2161</v>
      </c>
      <c r="J117" s="156" t="b">
        <v>1</v>
      </c>
      <c r="K117" s="156" t="b">
        <v>0</v>
      </c>
      <c r="L117" s="156" t="b">
        <v>0</v>
      </c>
      <c r="M117" s="156" t="b">
        <v>0</v>
      </c>
      <c r="N117" s="156"/>
      <c r="O117" s="156" t="s">
        <v>2162</v>
      </c>
      <c r="P117" s="156" t="s">
        <v>2424</v>
      </c>
      <c r="Q117" s="156" t="s">
        <v>547</v>
      </c>
      <c r="R117" s="156" t="s">
        <v>1633</v>
      </c>
      <c r="S117" s="157" t="s">
        <v>2163</v>
      </c>
      <c r="T117" s="157" t="s">
        <v>2164</v>
      </c>
      <c r="U117" s="157" t="s">
        <v>655</v>
      </c>
      <c r="V117" s="157" t="s">
        <v>2163</v>
      </c>
      <c r="W117" s="157" t="s">
        <v>2164</v>
      </c>
      <c r="X117" s="156" t="b">
        <v>0</v>
      </c>
      <c r="Y117" s="156" t="b">
        <v>0</v>
      </c>
      <c r="Z117" s="156" t="b">
        <v>0</v>
      </c>
      <c r="AA117" s="156" t="b">
        <v>0</v>
      </c>
      <c r="AB117" s="156"/>
      <c r="AC117" s="156" t="s">
        <v>200</v>
      </c>
      <c r="AD117" s="156" t="s">
        <v>2350</v>
      </c>
      <c r="AE117" s="156" t="s">
        <v>2165</v>
      </c>
      <c r="AF117" s="158" t="s">
        <v>2422</v>
      </c>
      <c r="AG117" s="156"/>
      <c r="AH117" s="158"/>
      <c r="AI117" s="158"/>
      <c r="AJ117" s="158"/>
      <c r="AK117" s="158"/>
      <c r="AL117" s="158"/>
      <c r="AM117" s="158"/>
      <c r="AN117" s="158"/>
      <c r="AO117" s="158"/>
      <c r="AP117" s="158"/>
      <c r="AQ117" s="158"/>
      <c r="AR117" s="158"/>
      <c r="AS117" s="158"/>
      <c r="AT117" s="158"/>
      <c r="AU117" s="158"/>
    </row>
    <row r="118" spans="3:47" s="1" customFormat="1" x14ac:dyDescent="0.25">
      <c r="C118" s="155">
        <v>114</v>
      </c>
      <c r="D118" s="156" t="s">
        <v>934</v>
      </c>
      <c r="E118" s="156" t="s">
        <v>1037</v>
      </c>
      <c r="F118" s="156" t="s">
        <v>2375</v>
      </c>
      <c r="G118" s="156" t="s">
        <v>551</v>
      </c>
      <c r="H118" s="156" t="s">
        <v>834</v>
      </c>
      <c r="I118" s="157" t="s">
        <v>2003</v>
      </c>
      <c r="J118" s="156" t="b">
        <v>1</v>
      </c>
      <c r="K118" s="156" t="b">
        <v>0</v>
      </c>
      <c r="L118" s="156" t="b">
        <v>0</v>
      </c>
      <c r="M118" s="156" t="b">
        <v>0</v>
      </c>
      <c r="N118" s="156"/>
      <c r="O118" s="156" t="s">
        <v>835</v>
      </c>
      <c r="P118" s="156" t="s">
        <v>2424</v>
      </c>
      <c r="Q118" s="156" t="s">
        <v>547</v>
      </c>
      <c r="R118" s="156" t="s">
        <v>836</v>
      </c>
      <c r="S118" s="157" t="s">
        <v>837</v>
      </c>
      <c r="T118" s="157" t="s">
        <v>1093</v>
      </c>
      <c r="U118" s="157" t="s">
        <v>653</v>
      </c>
      <c r="V118" s="157" t="s">
        <v>837</v>
      </c>
      <c r="W118" s="157" t="s">
        <v>1093</v>
      </c>
      <c r="X118" s="156" t="b">
        <v>0</v>
      </c>
      <c r="Y118" s="156" t="b">
        <v>0</v>
      </c>
      <c r="Z118" s="156" t="b">
        <v>0</v>
      </c>
      <c r="AA118" s="156" t="b">
        <v>0</v>
      </c>
      <c r="AB118" s="156"/>
      <c r="AC118" s="156" t="s">
        <v>838</v>
      </c>
      <c r="AD118" s="156" t="s">
        <v>2347</v>
      </c>
      <c r="AE118" s="156" t="s">
        <v>1149</v>
      </c>
      <c r="AF118" s="158" t="s">
        <v>839</v>
      </c>
      <c r="AG118" s="156"/>
      <c r="AH118" s="158"/>
      <c r="AI118" s="158"/>
      <c r="AJ118" s="158"/>
      <c r="AK118" s="158"/>
      <c r="AL118" s="158"/>
      <c r="AM118" s="158"/>
      <c r="AN118" s="158"/>
      <c r="AO118" s="158"/>
      <c r="AP118" s="158"/>
      <c r="AQ118" s="158"/>
      <c r="AR118" s="158"/>
      <c r="AS118" s="158"/>
      <c r="AT118" s="158"/>
      <c r="AU118" s="158"/>
    </row>
    <row r="119" spans="3:47" s="1" customFormat="1" x14ac:dyDescent="0.25">
      <c r="C119" s="155">
        <v>115</v>
      </c>
      <c r="D119" s="156" t="s">
        <v>828</v>
      </c>
      <c r="E119" s="156" t="s">
        <v>1307</v>
      </c>
      <c r="F119" s="156" t="s">
        <v>2363</v>
      </c>
      <c r="G119" s="156" t="s">
        <v>551</v>
      </c>
      <c r="H119" s="156" t="s">
        <v>1318</v>
      </c>
      <c r="I119" s="157" t="s">
        <v>2438</v>
      </c>
      <c r="J119" s="156" t="b">
        <v>1</v>
      </c>
      <c r="K119" s="156" t="b">
        <v>0</v>
      </c>
      <c r="L119" s="156" t="b">
        <v>0</v>
      </c>
      <c r="M119" s="156" t="b">
        <v>0</v>
      </c>
      <c r="N119" s="156"/>
      <c r="O119" s="156"/>
      <c r="P119" s="156" t="s">
        <v>67</v>
      </c>
      <c r="Q119" s="156" t="s">
        <v>2439</v>
      </c>
      <c r="R119" s="156" t="s">
        <v>2440</v>
      </c>
      <c r="S119" s="157" t="s">
        <v>2441</v>
      </c>
      <c r="T119" s="157" t="s">
        <v>2442</v>
      </c>
      <c r="U119" s="157" t="s">
        <v>653</v>
      </c>
      <c r="V119" s="157" t="s">
        <v>2441</v>
      </c>
      <c r="W119" s="157" t="s">
        <v>2442</v>
      </c>
      <c r="X119" s="156" t="b">
        <v>0</v>
      </c>
      <c r="Y119" s="156" t="b">
        <v>0</v>
      </c>
      <c r="Z119" s="156" t="b">
        <v>0</v>
      </c>
      <c r="AA119" s="156" t="b">
        <v>0</v>
      </c>
      <c r="AB119" s="156"/>
      <c r="AC119" s="156" t="s">
        <v>2443</v>
      </c>
      <c r="AD119" s="156" t="s">
        <v>2348</v>
      </c>
      <c r="AE119" s="156" t="s">
        <v>2444</v>
      </c>
      <c r="AF119" s="158" t="s">
        <v>2445</v>
      </c>
      <c r="AG119" s="156"/>
      <c r="AH119" s="158"/>
      <c r="AI119" s="158"/>
      <c r="AJ119" s="158"/>
      <c r="AK119" s="158"/>
      <c r="AL119" s="158"/>
      <c r="AM119" s="158"/>
      <c r="AN119" s="158"/>
      <c r="AO119" s="158"/>
      <c r="AP119" s="158"/>
      <c r="AQ119" s="158"/>
      <c r="AR119" s="158"/>
      <c r="AS119" s="158"/>
      <c r="AT119" s="158"/>
      <c r="AU119" s="158"/>
    </row>
    <row r="120" spans="3:47" s="1" customFormat="1" x14ac:dyDescent="0.25">
      <c r="C120" s="155">
        <v>116</v>
      </c>
      <c r="D120" s="156" t="s">
        <v>828</v>
      </c>
      <c r="E120" s="156" t="s">
        <v>1307</v>
      </c>
      <c r="F120" s="156" t="s">
        <v>2363</v>
      </c>
      <c r="G120" s="156" t="s">
        <v>551</v>
      </c>
      <c r="H120" s="156" t="s">
        <v>2446</v>
      </c>
      <c r="I120" s="157" t="s">
        <v>2447</v>
      </c>
      <c r="J120" s="156" t="b">
        <v>1</v>
      </c>
      <c r="K120" s="156" t="b">
        <v>0</v>
      </c>
      <c r="L120" s="156" t="b">
        <v>0</v>
      </c>
      <c r="M120" s="156" t="b">
        <v>0</v>
      </c>
      <c r="N120" s="156"/>
      <c r="O120" s="156" t="s">
        <v>576</v>
      </c>
      <c r="P120" s="156" t="s">
        <v>67</v>
      </c>
      <c r="Q120" s="156" t="s">
        <v>547</v>
      </c>
      <c r="R120" s="156" t="s">
        <v>2448</v>
      </c>
      <c r="S120" s="157" t="s">
        <v>2441</v>
      </c>
      <c r="T120" s="157" t="s">
        <v>2449</v>
      </c>
      <c r="U120" s="157" t="s">
        <v>653</v>
      </c>
      <c r="V120" s="157" t="s">
        <v>2441</v>
      </c>
      <c r="W120" s="157" t="s">
        <v>2449</v>
      </c>
      <c r="X120" s="156" t="b">
        <v>0</v>
      </c>
      <c r="Y120" s="156" t="b">
        <v>0</v>
      </c>
      <c r="Z120" s="156" t="b">
        <v>0</v>
      </c>
      <c r="AA120" s="156" t="b">
        <v>0</v>
      </c>
      <c r="AB120" s="156"/>
      <c r="AC120" s="156" t="s">
        <v>562</v>
      </c>
      <c r="AD120" s="156" t="s">
        <v>2343</v>
      </c>
      <c r="AE120" s="156" t="s">
        <v>2450</v>
      </c>
      <c r="AF120" s="158" t="s">
        <v>1798</v>
      </c>
      <c r="AG120" s="156"/>
      <c r="AH120" s="158"/>
      <c r="AI120" s="158"/>
      <c r="AJ120" s="158"/>
      <c r="AK120" s="158"/>
      <c r="AL120" s="158"/>
      <c r="AM120" s="158"/>
      <c r="AN120" s="158"/>
      <c r="AO120" s="158"/>
      <c r="AP120" s="158"/>
      <c r="AQ120" s="158"/>
      <c r="AR120" s="158"/>
      <c r="AS120" s="158"/>
      <c r="AT120" s="158"/>
      <c r="AU120" s="158"/>
    </row>
    <row r="121" spans="3:47" s="1" customFormat="1" x14ac:dyDescent="0.25">
      <c r="C121" s="155">
        <v>117</v>
      </c>
      <c r="D121" s="156" t="s">
        <v>828</v>
      </c>
      <c r="E121" s="156" t="s">
        <v>1307</v>
      </c>
      <c r="F121" s="156" t="s">
        <v>2355</v>
      </c>
      <c r="G121" s="156" t="s">
        <v>551</v>
      </c>
      <c r="H121" s="156" t="s">
        <v>49</v>
      </c>
      <c r="I121" s="157" t="s">
        <v>1062</v>
      </c>
      <c r="J121" s="156" t="b">
        <v>1</v>
      </c>
      <c r="K121" s="156" t="b">
        <v>0</v>
      </c>
      <c r="L121" s="156" t="b">
        <v>0</v>
      </c>
      <c r="M121" s="156" t="b">
        <v>0</v>
      </c>
      <c r="N121" s="156"/>
      <c r="O121" s="156" t="s">
        <v>576</v>
      </c>
      <c r="P121" s="156" t="s">
        <v>2424</v>
      </c>
      <c r="Q121" s="156"/>
      <c r="R121" s="156" t="s">
        <v>1781</v>
      </c>
      <c r="S121" s="157" t="s">
        <v>1063</v>
      </c>
      <c r="T121" s="157" t="s">
        <v>1064</v>
      </c>
      <c r="U121" s="157" t="s">
        <v>552</v>
      </c>
      <c r="V121" s="157" t="s">
        <v>1063</v>
      </c>
      <c r="W121" s="157" t="s">
        <v>1064</v>
      </c>
      <c r="X121" s="156" t="b">
        <v>0</v>
      </c>
      <c r="Y121" s="156" t="b">
        <v>0</v>
      </c>
      <c r="Z121" s="156" t="b">
        <v>0</v>
      </c>
      <c r="AA121" s="156" t="b">
        <v>0</v>
      </c>
      <c r="AB121" s="156"/>
      <c r="AC121" s="156" t="s">
        <v>1065</v>
      </c>
      <c r="AD121" s="156" t="s">
        <v>2342</v>
      </c>
      <c r="AE121" s="156" t="s">
        <v>1066</v>
      </c>
      <c r="AF121" s="158" t="s">
        <v>1798</v>
      </c>
      <c r="AG121" s="156"/>
      <c r="AH121" s="158"/>
      <c r="AI121" s="158"/>
      <c r="AJ121" s="158"/>
      <c r="AK121" s="158"/>
      <c r="AL121" s="158"/>
      <c r="AM121" s="158"/>
      <c r="AN121" s="158"/>
      <c r="AO121" s="158"/>
      <c r="AP121" s="158"/>
      <c r="AQ121" s="158"/>
      <c r="AR121" s="158"/>
      <c r="AS121" s="158"/>
      <c r="AT121" s="158"/>
      <c r="AU121" s="158"/>
    </row>
    <row r="122" spans="3:47" s="1" customFormat="1" x14ac:dyDescent="0.25">
      <c r="C122" s="155">
        <v>118</v>
      </c>
      <c r="D122" s="156" t="s">
        <v>828</v>
      </c>
      <c r="E122" s="156" t="s">
        <v>1307</v>
      </c>
      <c r="F122" s="156" t="s">
        <v>126</v>
      </c>
      <c r="G122" s="156" t="s">
        <v>551</v>
      </c>
      <c r="H122" s="156"/>
      <c r="I122" s="157" t="s">
        <v>2676</v>
      </c>
      <c r="J122" s="156" t="b">
        <v>1</v>
      </c>
      <c r="K122" s="156" t="b">
        <v>0</v>
      </c>
      <c r="L122" s="156" t="b">
        <v>0</v>
      </c>
      <c r="M122" s="156" t="b">
        <v>0</v>
      </c>
      <c r="N122" s="156"/>
      <c r="O122" s="156"/>
      <c r="P122" s="156" t="s">
        <v>2424</v>
      </c>
      <c r="Q122" s="156"/>
      <c r="R122" s="156" t="s">
        <v>2677</v>
      </c>
      <c r="S122" s="157" t="s">
        <v>2678</v>
      </c>
      <c r="T122" s="157" t="s">
        <v>2511</v>
      </c>
      <c r="U122" s="157" t="s">
        <v>655</v>
      </c>
      <c r="V122" s="157" t="s">
        <v>2678</v>
      </c>
      <c r="W122" s="157" t="s">
        <v>2511</v>
      </c>
      <c r="X122" s="156" t="b">
        <v>0</v>
      </c>
      <c r="Y122" s="156" t="b">
        <v>0</v>
      </c>
      <c r="Z122" s="156" t="b">
        <v>0</v>
      </c>
      <c r="AA122" s="156" t="b">
        <v>0</v>
      </c>
      <c r="AB122" s="156"/>
      <c r="AC122" s="156" t="s">
        <v>791</v>
      </c>
      <c r="AD122" s="156" t="s">
        <v>2679</v>
      </c>
      <c r="AE122" s="156" t="s">
        <v>939</v>
      </c>
      <c r="AF122" s="158" t="s">
        <v>2680</v>
      </c>
      <c r="AG122" s="156"/>
      <c r="AH122" s="158"/>
      <c r="AI122" s="158"/>
      <c r="AJ122" s="158"/>
      <c r="AK122" s="158"/>
      <c r="AL122" s="158"/>
      <c r="AM122" s="158"/>
      <c r="AN122" s="158"/>
      <c r="AO122" s="158"/>
      <c r="AP122" s="158"/>
      <c r="AQ122" s="158"/>
      <c r="AR122" s="158"/>
      <c r="AS122" s="158"/>
      <c r="AT122" s="158"/>
      <c r="AU122" s="158"/>
    </row>
    <row r="123" spans="3:47" s="1" customFormat="1" x14ac:dyDescent="0.25">
      <c r="C123" s="155">
        <v>119</v>
      </c>
      <c r="D123" s="156" t="s">
        <v>828</v>
      </c>
      <c r="E123" s="156" t="s">
        <v>1307</v>
      </c>
      <c r="F123" s="156" t="s">
        <v>126</v>
      </c>
      <c r="G123" s="156" t="s">
        <v>551</v>
      </c>
      <c r="H123" s="156"/>
      <c r="I123" s="157" t="s">
        <v>2681</v>
      </c>
      <c r="J123" s="156" t="b">
        <v>1</v>
      </c>
      <c r="K123" s="156" t="b">
        <v>0</v>
      </c>
      <c r="L123" s="156" t="b">
        <v>0</v>
      </c>
      <c r="M123" s="156" t="b">
        <v>0</v>
      </c>
      <c r="N123" s="156"/>
      <c r="O123" s="156" t="s">
        <v>1517</v>
      </c>
      <c r="P123" s="156" t="s">
        <v>2424</v>
      </c>
      <c r="Q123" s="156"/>
      <c r="R123" s="156" t="s">
        <v>2677</v>
      </c>
      <c r="S123" s="157" t="s">
        <v>2678</v>
      </c>
      <c r="T123" s="157" t="s">
        <v>2682</v>
      </c>
      <c r="U123" s="157" t="s">
        <v>655</v>
      </c>
      <c r="V123" s="157" t="s">
        <v>2678</v>
      </c>
      <c r="W123" s="157" t="s">
        <v>2682</v>
      </c>
      <c r="X123" s="156" t="b">
        <v>0</v>
      </c>
      <c r="Y123" s="156" t="b">
        <v>0</v>
      </c>
      <c r="Z123" s="156" t="b">
        <v>0</v>
      </c>
      <c r="AA123" s="156" t="b">
        <v>0</v>
      </c>
      <c r="AB123" s="156"/>
      <c r="AC123" s="156" t="s">
        <v>2683</v>
      </c>
      <c r="AD123" s="156" t="s">
        <v>2684</v>
      </c>
      <c r="AE123" s="156" t="s">
        <v>939</v>
      </c>
      <c r="AF123" s="158" t="s">
        <v>373</v>
      </c>
      <c r="AG123" s="156"/>
      <c r="AH123" s="158"/>
      <c r="AI123" s="158"/>
      <c r="AJ123" s="158"/>
      <c r="AK123" s="158"/>
      <c r="AL123" s="158"/>
      <c r="AM123" s="158"/>
      <c r="AN123" s="158"/>
      <c r="AO123" s="158"/>
      <c r="AP123" s="158"/>
      <c r="AQ123" s="158"/>
      <c r="AR123" s="158"/>
      <c r="AS123" s="158"/>
      <c r="AT123" s="158"/>
      <c r="AU123" s="158"/>
    </row>
    <row r="124" spans="3:47" s="1" customFormat="1" x14ac:dyDescent="0.25">
      <c r="C124" s="155">
        <v>120</v>
      </c>
      <c r="D124" s="156" t="s">
        <v>828</v>
      </c>
      <c r="E124" s="156" t="s">
        <v>1307</v>
      </c>
      <c r="F124" s="156" t="s">
        <v>126</v>
      </c>
      <c r="G124" s="156" t="s">
        <v>551</v>
      </c>
      <c r="H124" s="156" t="s">
        <v>1253</v>
      </c>
      <c r="I124" s="157" t="s">
        <v>1254</v>
      </c>
      <c r="J124" s="156" t="b">
        <v>1</v>
      </c>
      <c r="K124" s="156" t="b">
        <v>0</v>
      </c>
      <c r="L124" s="156" t="b">
        <v>0</v>
      </c>
      <c r="M124" s="156" t="b">
        <v>0</v>
      </c>
      <c r="N124" s="156"/>
      <c r="O124" s="156" t="s">
        <v>1827</v>
      </c>
      <c r="P124" s="156" t="s">
        <v>2424</v>
      </c>
      <c r="Q124" s="156"/>
      <c r="R124" s="156" t="s">
        <v>1255</v>
      </c>
      <c r="S124" s="157" t="s">
        <v>1256</v>
      </c>
      <c r="T124" s="157" t="s">
        <v>1257</v>
      </c>
      <c r="U124" s="157" t="s">
        <v>655</v>
      </c>
      <c r="V124" s="157" t="s">
        <v>1256</v>
      </c>
      <c r="W124" s="157" t="s">
        <v>1257</v>
      </c>
      <c r="X124" s="156" t="b">
        <v>0</v>
      </c>
      <c r="Y124" s="156" t="b">
        <v>0</v>
      </c>
      <c r="Z124" s="156" t="b">
        <v>0</v>
      </c>
      <c r="AA124" s="156" t="b">
        <v>0</v>
      </c>
      <c r="AB124" s="156"/>
      <c r="AC124" s="156" t="s">
        <v>791</v>
      </c>
      <c r="AD124" s="156" t="s">
        <v>2342</v>
      </c>
      <c r="AE124" s="156" t="s">
        <v>1258</v>
      </c>
      <c r="AF124" s="158" t="s">
        <v>284</v>
      </c>
      <c r="AG124" s="156"/>
      <c r="AH124" s="158"/>
      <c r="AI124" s="158"/>
      <c r="AJ124" s="158"/>
      <c r="AK124" s="158"/>
      <c r="AL124" s="158"/>
      <c r="AM124" s="158"/>
      <c r="AN124" s="158"/>
      <c r="AO124" s="158"/>
      <c r="AP124" s="158"/>
      <c r="AQ124" s="158"/>
      <c r="AR124" s="158"/>
      <c r="AS124" s="158"/>
      <c r="AT124" s="158"/>
      <c r="AU124" s="158"/>
    </row>
    <row r="125" spans="3:47" s="1" customFormat="1" x14ac:dyDescent="0.25">
      <c r="C125" s="155">
        <v>121</v>
      </c>
      <c r="D125" s="156" t="s">
        <v>934</v>
      </c>
      <c r="E125" s="156" t="s">
        <v>1037</v>
      </c>
      <c r="F125" s="156" t="s">
        <v>2388</v>
      </c>
      <c r="G125" s="156" t="s">
        <v>551</v>
      </c>
      <c r="H125" s="156" t="s">
        <v>2912</v>
      </c>
      <c r="I125" s="157" t="s">
        <v>2913</v>
      </c>
      <c r="J125" s="156" t="b">
        <v>1</v>
      </c>
      <c r="K125" s="156" t="b">
        <v>0</v>
      </c>
      <c r="L125" s="156" t="b">
        <v>0</v>
      </c>
      <c r="M125" s="156" t="b">
        <v>0</v>
      </c>
      <c r="N125" s="156"/>
      <c r="O125" s="156"/>
      <c r="P125" s="156" t="s">
        <v>2424</v>
      </c>
      <c r="Q125" s="156" t="s">
        <v>549</v>
      </c>
      <c r="R125" s="156" t="s">
        <v>2914</v>
      </c>
      <c r="S125" s="157" t="s">
        <v>2915</v>
      </c>
      <c r="T125" s="157" t="s">
        <v>427</v>
      </c>
      <c r="U125" s="157" t="s">
        <v>653</v>
      </c>
      <c r="V125" s="157" t="s">
        <v>2915</v>
      </c>
      <c r="W125" s="157" t="s">
        <v>427</v>
      </c>
      <c r="X125" s="156" t="b">
        <v>0</v>
      </c>
      <c r="Y125" s="156" t="b">
        <v>0</v>
      </c>
      <c r="Z125" s="156" t="b">
        <v>0</v>
      </c>
      <c r="AA125" s="156" t="b">
        <v>0</v>
      </c>
      <c r="AB125" s="156"/>
      <c r="AC125" s="156" t="s">
        <v>873</v>
      </c>
      <c r="AD125" s="156" t="s">
        <v>2343</v>
      </c>
      <c r="AE125" s="156" t="s">
        <v>2916</v>
      </c>
      <c r="AF125" s="158" t="s">
        <v>2917</v>
      </c>
      <c r="AG125" s="156"/>
      <c r="AH125" s="158"/>
      <c r="AI125" s="158"/>
      <c r="AJ125" s="158"/>
      <c r="AK125" s="158"/>
      <c r="AL125" s="158"/>
      <c r="AM125" s="158"/>
      <c r="AN125" s="158"/>
      <c r="AO125" s="158"/>
      <c r="AP125" s="158"/>
      <c r="AQ125" s="158"/>
      <c r="AR125" s="158"/>
      <c r="AS125" s="158"/>
      <c r="AT125" s="158"/>
      <c r="AU125" s="158"/>
    </row>
    <row r="126" spans="3:47" s="1" customFormat="1" x14ac:dyDescent="0.25">
      <c r="C126" s="155">
        <v>122</v>
      </c>
      <c r="D126" s="156" t="s">
        <v>934</v>
      </c>
      <c r="E126" s="156" t="s">
        <v>1037</v>
      </c>
      <c r="F126" s="156" t="s">
        <v>2388</v>
      </c>
      <c r="G126" s="156" t="s">
        <v>551</v>
      </c>
      <c r="H126" s="156" t="s">
        <v>2912</v>
      </c>
      <c r="I126" s="157" t="s">
        <v>2918</v>
      </c>
      <c r="J126" s="156" t="b">
        <v>1</v>
      </c>
      <c r="K126" s="156" t="b">
        <v>0</v>
      </c>
      <c r="L126" s="156" t="b">
        <v>0</v>
      </c>
      <c r="M126" s="156" t="b">
        <v>0</v>
      </c>
      <c r="N126" s="156"/>
      <c r="O126" s="156"/>
      <c r="P126" s="156" t="s">
        <v>2424</v>
      </c>
      <c r="Q126" s="156" t="s">
        <v>547</v>
      </c>
      <c r="R126" s="156" t="s">
        <v>2914</v>
      </c>
      <c r="S126" s="157" t="s">
        <v>2915</v>
      </c>
      <c r="T126" s="157" t="s">
        <v>1599</v>
      </c>
      <c r="U126" s="157" t="s">
        <v>653</v>
      </c>
      <c r="V126" s="157" t="s">
        <v>2915</v>
      </c>
      <c r="W126" s="157" t="s">
        <v>1599</v>
      </c>
      <c r="X126" s="156" t="b">
        <v>0</v>
      </c>
      <c r="Y126" s="156" t="b">
        <v>0</v>
      </c>
      <c r="Z126" s="156" t="b">
        <v>0</v>
      </c>
      <c r="AA126" s="156" t="b">
        <v>0</v>
      </c>
      <c r="AB126" s="156"/>
      <c r="AC126" s="156" t="s">
        <v>2919</v>
      </c>
      <c r="AD126" s="156" t="s">
        <v>2342</v>
      </c>
      <c r="AE126" s="156" t="s">
        <v>2916</v>
      </c>
      <c r="AF126" s="158" t="s">
        <v>2920</v>
      </c>
      <c r="AG126" s="156"/>
      <c r="AH126" s="158"/>
      <c r="AI126" s="158"/>
      <c r="AJ126" s="158"/>
      <c r="AK126" s="158"/>
      <c r="AL126" s="158"/>
      <c r="AM126" s="158"/>
      <c r="AN126" s="158"/>
      <c r="AO126" s="158"/>
      <c r="AP126" s="158"/>
      <c r="AQ126" s="158"/>
      <c r="AR126" s="158"/>
      <c r="AS126" s="158"/>
      <c r="AT126" s="158"/>
      <c r="AU126" s="158"/>
    </row>
    <row r="127" spans="3:47" s="1" customFormat="1" x14ac:dyDescent="0.25">
      <c r="C127" s="155">
        <v>123</v>
      </c>
      <c r="D127" s="156" t="s">
        <v>934</v>
      </c>
      <c r="E127" s="156" t="s">
        <v>1037</v>
      </c>
      <c r="F127" s="156" t="s">
        <v>2388</v>
      </c>
      <c r="G127" s="156" t="s">
        <v>551</v>
      </c>
      <c r="H127" s="156" t="s">
        <v>2912</v>
      </c>
      <c r="I127" s="157" t="s">
        <v>2921</v>
      </c>
      <c r="J127" s="156" t="b">
        <v>1</v>
      </c>
      <c r="K127" s="156" t="b">
        <v>0</v>
      </c>
      <c r="L127" s="156" t="b">
        <v>0</v>
      </c>
      <c r="M127" s="156" t="b">
        <v>0</v>
      </c>
      <c r="N127" s="156"/>
      <c r="O127" s="156" t="s">
        <v>479</v>
      </c>
      <c r="P127" s="156"/>
      <c r="Q127" s="156" t="s">
        <v>547</v>
      </c>
      <c r="R127" s="156" t="s">
        <v>2914</v>
      </c>
      <c r="S127" s="157" t="s">
        <v>2915</v>
      </c>
      <c r="T127" s="157" t="s">
        <v>2922</v>
      </c>
      <c r="U127" s="157" t="s">
        <v>653</v>
      </c>
      <c r="V127" s="157" t="s">
        <v>2915</v>
      </c>
      <c r="W127" s="157" t="s">
        <v>2922</v>
      </c>
      <c r="X127" s="156" t="b">
        <v>0</v>
      </c>
      <c r="Y127" s="156" t="b">
        <v>0</v>
      </c>
      <c r="Z127" s="156" t="b">
        <v>0</v>
      </c>
      <c r="AA127" s="156" t="b">
        <v>0</v>
      </c>
      <c r="AB127" s="156"/>
      <c r="AC127" s="156" t="s">
        <v>1392</v>
      </c>
      <c r="AD127" s="156" t="s">
        <v>2342</v>
      </c>
      <c r="AE127" s="156" t="s">
        <v>2923</v>
      </c>
      <c r="AF127" s="158" t="s">
        <v>1672</v>
      </c>
      <c r="AG127" s="156"/>
      <c r="AH127" s="158"/>
      <c r="AI127" s="158"/>
      <c r="AJ127" s="158"/>
      <c r="AK127" s="158"/>
      <c r="AL127" s="158"/>
      <c r="AM127" s="158"/>
      <c r="AN127" s="158"/>
      <c r="AO127" s="158"/>
      <c r="AP127" s="158"/>
      <c r="AQ127" s="158"/>
      <c r="AR127" s="158"/>
      <c r="AS127" s="158"/>
      <c r="AT127" s="158"/>
      <c r="AU127" s="158"/>
    </row>
    <row r="128" spans="3:47" s="1" customFormat="1" x14ac:dyDescent="0.25">
      <c r="C128" s="155">
        <v>124</v>
      </c>
      <c r="D128" s="156" t="s">
        <v>828</v>
      </c>
      <c r="E128" s="156" t="s">
        <v>1307</v>
      </c>
      <c r="F128" s="156" t="s">
        <v>126</v>
      </c>
      <c r="G128" s="156" t="s">
        <v>551</v>
      </c>
      <c r="H128" s="156" t="s">
        <v>1447</v>
      </c>
      <c r="I128" s="157" t="s">
        <v>2882</v>
      </c>
      <c r="J128" s="156" t="b">
        <v>1</v>
      </c>
      <c r="K128" s="156" t="b">
        <v>0</v>
      </c>
      <c r="L128" s="156" t="b">
        <v>0</v>
      </c>
      <c r="M128" s="156" t="b">
        <v>0</v>
      </c>
      <c r="N128" s="156"/>
      <c r="O128" s="156" t="s">
        <v>1827</v>
      </c>
      <c r="P128" s="156" t="s">
        <v>2424</v>
      </c>
      <c r="Q128" s="156"/>
      <c r="R128" s="156" t="s">
        <v>1448</v>
      </c>
      <c r="S128" s="157" t="s">
        <v>1449</v>
      </c>
      <c r="T128" s="157" t="s">
        <v>2886</v>
      </c>
      <c r="U128" s="157" t="s">
        <v>655</v>
      </c>
      <c r="V128" s="157" t="s">
        <v>1449</v>
      </c>
      <c r="W128" s="157" t="s">
        <v>2886</v>
      </c>
      <c r="X128" s="156" t="b">
        <v>0</v>
      </c>
      <c r="Y128" s="156" t="b">
        <v>0</v>
      </c>
      <c r="Z128" s="156" t="b">
        <v>0</v>
      </c>
      <c r="AA128" s="156" t="b">
        <v>0</v>
      </c>
      <c r="AB128" s="156"/>
      <c r="AC128" s="156" t="s">
        <v>1450</v>
      </c>
      <c r="AD128" s="156" t="s">
        <v>2343</v>
      </c>
      <c r="AE128" s="156" t="s">
        <v>1451</v>
      </c>
      <c r="AF128" s="158" t="s">
        <v>284</v>
      </c>
      <c r="AG128" s="156"/>
      <c r="AH128" s="158"/>
      <c r="AI128" s="158"/>
      <c r="AJ128" s="158"/>
      <c r="AK128" s="158"/>
      <c r="AL128" s="158"/>
      <c r="AM128" s="158"/>
      <c r="AN128" s="158"/>
      <c r="AO128" s="158"/>
      <c r="AP128" s="158"/>
      <c r="AQ128" s="158"/>
      <c r="AR128" s="158"/>
      <c r="AS128" s="158"/>
      <c r="AT128" s="158"/>
      <c r="AU128" s="158"/>
    </row>
    <row r="129" spans="3:47" s="1" customFormat="1" x14ac:dyDescent="0.25">
      <c r="C129" s="155">
        <v>125</v>
      </c>
      <c r="D129" s="156" t="s">
        <v>828</v>
      </c>
      <c r="E129" s="156" t="s">
        <v>1307</v>
      </c>
      <c r="F129" s="156" t="s">
        <v>2360</v>
      </c>
      <c r="G129" s="156" t="s">
        <v>551</v>
      </c>
      <c r="H129" s="156" t="s">
        <v>1621</v>
      </c>
      <c r="I129" s="157" t="s">
        <v>1622</v>
      </c>
      <c r="J129" s="156" t="b">
        <v>1</v>
      </c>
      <c r="K129" s="156" t="b">
        <v>0</v>
      </c>
      <c r="L129" s="156" t="b">
        <v>0</v>
      </c>
      <c r="M129" s="156" t="b">
        <v>0</v>
      </c>
      <c r="N129" s="156"/>
      <c r="O129" s="156"/>
      <c r="P129" s="156" t="s">
        <v>67</v>
      </c>
      <c r="Q129" s="156" t="s">
        <v>549</v>
      </c>
      <c r="R129" s="156" t="s">
        <v>1623</v>
      </c>
      <c r="S129" s="157" t="s">
        <v>1624</v>
      </c>
      <c r="T129" s="157" t="s">
        <v>1625</v>
      </c>
      <c r="U129" s="157" t="s">
        <v>653</v>
      </c>
      <c r="V129" s="157" t="s">
        <v>1624</v>
      </c>
      <c r="W129" s="157" t="s">
        <v>1625</v>
      </c>
      <c r="X129" s="156" t="b">
        <v>0</v>
      </c>
      <c r="Y129" s="156" t="b">
        <v>0</v>
      </c>
      <c r="Z129" s="156" t="b">
        <v>0</v>
      </c>
      <c r="AA129" s="156" t="b">
        <v>0</v>
      </c>
      <c r="AB129" s="156"/>
      <c r="AC129" s="156" t="s">
        <v>1626</v>
      </c>
      <c r="AD129" s="156" t="s">
        <v>2342</v>
      </c>
      <c r="AE129" s="156" t="s">
        <v>1627</v>
      </c>
      <c r="AF129" s="158" t="s">
        <v>1628</v>
      </c>
      <c r="AG129" s="156"/>
      <c r="AH129" s="158"/>
      <c r="AI129" s="158"/>
      <c r="AJ129" s="158"/>
      <c r="AK129" s="158"/>
      <c r="AL129" s="158"/>
      <c r="AM129" s="158"/>
      <c r="AN129" s="158"/>
      <c r="AO129" s="158"/>
      <c r="AP129" s="158"/>
      <c r="AQ129" s="158"/>
      <c r="AR129" s="158"/>
      <c r="AS129" s="158"/>
      <c r="AT129" s="158"/>
      <c r="AU129" s="158"/>
    </row>
    <row r="130" spans="3:47" s="1" customFormat="1" x14ac:dyDescent="0.25">
      <c r="C130" s="155">
        <v>126</v>
      </c>
      <c r="D130" s="156" t="s">
        <v>934</v>
      </c>
      <c r="E130" s="156" t="s">
        <v>1037</v>
      </c>
      <c r="F130" s="156" t="s">
        <v>2388</v>
      </c>
      <c r="G130" s="156" t="s">
        <v>551</v>
      </c>
      <c r="H130" s="156" t="s">
        <v>314</v>
      </c>
      <c r="I130" s="157" t="s">
        <v>53</v>
      </c>
      <c r="J130" s="156" t="b">
        <v>1</v>
      </c>
      <c r="K130" s="156" t="b">
        <v>0</v>
      </c>
      <c r="L130" s="156" t="b">
        <v>0</v>
      </c>
      <c r="M130" s="156" t="b">
        <v>0</v>
      </c>
      <c r="N130" s="156"/>
      <c r="O130" s="156" t="s">
        <v>315</v>
      </c>
      <c r="P130" s="156" t="s">
        <v>67</v>
      </c>
      <c r="Q130" s="156" t="s">
        <v>547</v>
      </c>
      <c r="R130" s="156" t="s">
        <v>316</v>
      </c>
      <c r="S130" s="157" t="s">
        <v>317</v>
      </c>
      <c r="T130" s="157" t="s">
        <v>2682</v>
      </c>
      <c r="U130" s="157" t="s">
        <v>653</v>
      </c>
      <c r="V130" s="157" t="s">
        <v>317</v>
      </c>
      <c r="W130" s="157" t="s">
        <v>2682</v>
      </c>
      <c r="X130" s="156" t="b">
        <v>0</v>
      </c>
      <c r="Y130" s="156" t="b">
        <v>0</v>
      </c>
      <c r="Z130" s="156" t="b">
        <v>0</v>
      </c>
      <c r="AA130" s="156" t="b">
        <v>0</v>
      </c>
      <c r="AB130" s="156"/>
      <c r="AC130" s="156" t="s">
        <v>318</v>
      </c>
      <c r="AD130" s="156" t="s">
        <v>2342</v>
      </c>
      <c r="AE130" s="156" t="s">
        <v>319</v>
      </c>
      <c r="AF130" s="158" t="s">
        <v>2220</v>
      </c>
      <c r="AG130" s="156"/>
      <c r="AH130" s="158"/>
      <c r="AI130" s="158"/>
      <c r="AJ130" s="158"/>
      <c r="AK130" s="158"/>
      <c r="AL130" s="158"/>
      <c r="AM130" s="158"/>
      <c r="AN130" s="158"/>
      <c r="AO130" s="158"/>
      <c r="AP130" s="158"/>
      <c r="AQ130" s="158"/>
      <c r="AR130" s="158"/>
      <c r="AS130" s="158"/>
      <c r="AT130" s="158"/>
      <c r="AU130" s="158"/>
    </row>
    <row r="131" spans="3:47" s="1" customFormat="1" x14ac:dyDescent="0.25">
      <c r="C131" s="155">
        <v>127</v>
      </c>
      <c r="D131" s="156" t="s">
        <v>934</v>
      </c>
      <c r="E131" s="156" t="s">
        <v>1037</v>
      </c>
      <c r="F131" s="156" t="s">
        <v>2388</v>
      </c>
      <c r="G131" s="156" t="s">
        <v>551</v>
      </c>
      <c r="H131" s="156" t="s">
        <v>314</v>
      </c>
      <c r="I131" s="157" t="s">
        <v>320</v>
      </c>
      <c r="J131" s="156" t="b">
        <v>1</v>
      </c>
      <c r="K131" s="156" t="b">
        <v>0</v>
      </c>
      <c r="L131" s="156" t="b">
        <v>0</v>
      </c>
      <c r="M131" s="156" t="b">
        <v>0</v>
      </c>
      <c r="N131" s="156"/>
      <c r="O131" s="156" t="s">
        <v>1629</v>
      </c>
      <c r="P131" s="156" t="s">
        <v>67</v>
      </c>
      <c r="Q131" s="156" t="s">
        <v>547</v>
      </c>
      <c r="R131" s="156" t="s">
        <v>321</v>
      </c>
      <c r="S131" s="157" t="s">
        <v>317</v>
      </c>
      <c r="T131" s="157" t="s">
        <v>322</v>
      </c>
      <c r="U131" s="157" t="s">
        <v>653</v>
      </c>
      <c r="V131" s="157" t="s">
        <v>317</v>
      </c>
      <c r="W131" s="157" t="s">
        <v>322</v>
      </c>
      <c r="X131" s="156" t="b">
        <v>0</v>
      </c>
      <c r="Y131" s="156" t="b">
        <v>0</v>
      </c>
      <c r="Z131" s="156" t="b">
        <v>0</v>
      </c>
      <c r="AA131" s="156" t="b">
        <v>0</v>
      </c>
      <c r="AB131" s="156"/>
      <c r="AC131" s="156" t="s">
        <v>2443</v>
      </c>
      <c r="AD131" s="156" t="s">
        <v>2342</v>
      </c>
      <c r="AE131" s="156" t="s">
        <v>319</v>
      </c>
      <c r="AF131" s="158" t="s">
        <v>323</v>
      </c>
      <c r="AG131" s="156"/>
      <c r="AH131" s="158"/>
      <c r="AI131" s="158"/>
      <c r="AJ131" s="158"/>
      <c r="AK131" s="158"/>
      <c r="AL131" s="158"/>
      <c r="AM131" s="158"/>
      <c r="AN131" s="158"/>
      <c r="AO131" s="158"/>
      <c r="AP131" s="158"/>
      <c r="AQ131" s="158"/>
      <c r="AR131" s="158"/>
      <c r="AS131" s="158"/>
      <c r="AT131" s="158"/>
      <c r="AU131" s="158"/>
    </row>
    <row r="132" spans="3:47" s="1" customFormat="1" x14ac:dyDescent="0.25">
      <c r="C132" s="155">
        <v>128</v>
      </c>
      <c r="D132" s="156" t="s">
        <v>828</v>
      </c>
      <c r="E132" s="156" t="s">
        <v>1307</v>
      </c>
      <c r="F132" s="156" t="s">
        <v>2355</v>
      </c>
      <c r="G132" s="156" t="s">
        <v>551</v>
      </c>
      <c r="H132" s="156" t="s">
        <v>488</v>
      </c>
      <c r="I132" s="157" t="s">
        <v>1358</v>
      </c>
      <c r="J132" s="156" t="b">
        <v>1</v>
      </c>
      <c r="K132" s="156" t="b">
        <v>0</v>
      </c>
      <c r="L132" s="156" t="b">
        <v>0</v>
      </c>
      <c r="M132" s="156" t="b">
        <v>0</v>
      </c>
      <c r="N132" s="156"/>
      <c r="O132" s="156"/>
      <c r="P132" s="156" t="s">
        <v>2424</v>
      </c>
      <c r="Q132" s="156" t="s">
        <v>547</v>
      </c>
      <c r="R132" s="156" t="s">
        <v>1856</v>
      </c>
      <c r="S132" s="157" t="s">
        <v>489</v>
      </c>
      <c r="T132" s="157" t="s">
        <v>1361</v>
      </c>
      <c r="U132" s="157" t="s">
        <v>655</v>
      </c>
      <c r="V132" s="157" t="s">
        <v>489</v>
      </c>
      <c r="W132" s="157" t="s">
        <v>1361</v>
      </c>
      <c r="X132" s="156" t="b">
        <v>0</v>
      </c>
      <c r="Y132" s="156" t="b">
        <v>0</v>
      </c>
      <c r="Z132" s="156" t="b">
        <v>0</v>
      </c>
      <c r="AA132" s="156" t="b">
        <v>0</v>
      </c>
      <c r="AB132" s="156"/>
      <c r="AC132" s="156" t="s">
        <v>490</v>
      </c>
      <c r="AD132" s="156" t="s">
        <v>2342</v>
      </c>
      <c r="AE132" s="156" t="s">
        <v>1684</v>
      </c>
      <c r="AF132" s="158" t="s">
        <v>1684</v>
      </c>
      <c r="AG132" s="156"/>
      <c r="AH132" s="158"/>
      <c r="AI132" s="158"/>
      <c r="AJ132" s="158"/>
      <c r="AK132" s="158"/>
      <c r="AL132" s="158"/>
      <c r="AM132" s="158"/>
      <c r="AN132" s="158"/>
      <c r="AO132" s="158"/>
      <c r="AP132" s="158"/>
      <c r="AQ132" s="158"/>
      <c r="AR132" s="158"/>
      <c r="AS132" s="158"/>
      <c r="AT132" s="158"/>
      <c r="AU132" s="158"/>
    </row>
    <row r="133" spans="3:47" s="1" customFormat="1" x14ac:dyDescent="0.25">
      <c r="C133" s="155">
        <v>129</v>
      </c>
      <c r="D133" s="156" t="s">
        <v>828</v>
      </c>
      <c r="E133" s="156" t="s">
        <v>1307</v>
      </c>
      <c r="F133" s="156" t="s">
        <v>2360</v>
      </c>
      <c r="G133" s="156" t="s">
        <v>551</v>
      </c>
      <c r="H133" s="156" t="s">
        <v>383</v>
      </c>
      <c r="I133" s="157" t="s">
        <v>859</v>
      </c>
      <c r="J133" s="156" t="b">
        <v>1</v>
      </c>
      <c r="K133" s="156" t="b">
        <v>0</v>
      </c>
      <c r="L133" s="156" t="b">
        <v>0</v>
      </c>
      <c r="M133" s="156" t="b">
        <v>0</v>
      </c>
      <c r="N133" s="156"/>
      <c r="O133" s="156" t="s">
        <v>1517</v>
      </c>
      <c r="P133" s="156" t="s">
        <v>2424</v>
      </c>
      <c r="Q133" s="156"/>
      <c r="R133" s="156" t="s">
        <v>1623</v>
      </c>
      <c r="S133" s="157" t="s">
        <v>1996</v>
      </c>
      <c r="T133" s="157" t="s">
        <v>863</v>
      </c>
      <c r="U133" s="157" t="s">
        <v>552</v>
      </c>
      <c r="V133" s="157" t="s">
        <v>1996</v>
      </c>
      <c r="W133" s="157" t="s">
        <v>863</v>
      </c>
      <c r="X133" s="156" t="b">
        <v>0</v>
      </c>
      <c r="Y133" s="156" t="b">
        <v>0</v>
      </c>
      <c r="Z133" s="156" t="b">
        <v>0</v>
      </c>
      <c r="AA133" s="156" t="b">
        <v>0</v>
      </c>
      <c r="AB133" s="156"/>
      <c r="AC133" s="156" t="s">
        <v>405</v>
      </c>
      <c r="AD133" s="156" t="s">
        <v>2347</v>
      </c>
      <c r="AE133" s="156" t="s">
        <v>1997</v>
      </c>
      <c r="AF133" s="158" t="s">
        <v>373</v>
      </c>
      <c r="AG133" s="156"/>
      <c r="AH133" s="158"/>
      <c r="AI133" s="158"/>
      <c r="AJ133" s="158"/>
      <c r="AK133" s="158"/>
      <c r="AL133" s="158"/>
      <c r="AM133" s="158"/>
      <c r="AN133" s="158"/>
      <c r="AO133" s="158"/>
      <c r="AP133" s="158"/>
      <c r="AQ133" s="158"/>
      <c r="AR133" s="158"/>
      <c r="AS133" s="158"/>
      <c r="AT133" s="158"/>
      <c r="AU133" s="158"/>
    </row>
    <row r="134" spans="3:47" s="1" customFormat="1" x14ac:dyDescent="0.25">
      <c r="C134" s="155">
        <v>130</v>
      </c>
      <c r="D134" s="156" t="s">
        <v>828</v>
      </c>
      <c r="E134" s="156" t="s">
        <v>1307</v>
      </c>
      <c r="F134" s="156" t="s">
        <v>73</v>
      </c>
      <c r="G134" s="156" t="s">
        <v>551</v>
      </c>
      <c r="H134" s="156" t="s">
        <v>618</v>
      </c>
      <c r="I134" s="157" t="s">
        <v>619</v>
      </c>
      <c r="J134" s="156" t="b">
        <v>1</v>
      </c>
      <c r="K134" s="156" t="b">
        <v>0</v>
      </c>
      <c r="L134" s="156" t="b">
        <v>0</v>
      </c>
      <c r="M134" s="156" t="b">
        <v>0</v>
      </c>
      <c r="N134" s="156"/>
      <c r="O134" s="156" t="s">
        <v>620</v>
      </c>
      <c r="P134" s="156" t="s">
        <v>2424</v>
      </c>
      <c r="Q134" s="156" t="s">
        <v>547</v>
      </c>
      <c r="R134" s="156" t="s">
        <v>2427</v>
      </c>
      <c r="S134" s="157" t="s">
        <v>621</v>
      </c>
      <c r="T134" s="157" t="s">
        <v>622</v>
      </c>
      <c r="U134" s="157" t="s">
        <v>655</v>
      </c>
      <c r="V134" s="157" t="s">
        <v>621</v>
      </c>
      <c r="W134" s="157" t="s">
        <v>622</v>
      </c>
      <c r="X134" s="156" t="b">
        <v>0</v>
      </c>
      <c r="Y134" s="156" t="b">
        <v>0</v>
      </c>
      <c r="Z134" s="156" t="b">
        <v>0</v>
      </c>
      <c r="AA134" s="156" t="b">
        <v>0</v>
      </c>
      <c r="AB134" s="156"/>
      <c r="AC134" s="156" t="s">
        <v>623</v>
      </c>
      <c r="AD134" s="156" t="s">
        <v>2350</v>
      </c>
      <c r="AE134" s="156" t="s">
        <v>624</v>
      </c>
      <c r="AF134" s="158" t="s">
        <v>368</v>
      </c>
      <c r="AG134" s="156"/>
      <c r="AH134" s="158"/>
      <c r="AI134" s="158"/>
      <c r="AJ134" s="158"/>
      <c r="AK134" s="158"/>
      <c r="AL134" s="158"/>
      <c r="AM134" s="158"/>
      <c r="AN134" s="158"/>
      <c r="AO134" s="158"/>
      <c r="AP134" s="158"/>
      <c r="AQ134" s="158"/>
      <c r="AR134" s="158"/>
      <c r="AS134" s="158"/>
      <c r="AT134" s="158"/>
      <c r="AU134" s="158"/>
    </row>
    <row r="135" spans="3:47" s="1" customFormat="1" x14ac:dyDescent="0.25">
      <c r="C135" s="155">
        <v>131</v>
      </c>
      <c r="D135" s="156" t="s">
        <v>828</v>
      </c>
      <c r="E135" s="156" t="s">
        <v>1307</v>
      </c>
      <c r="F135" s="156" t="s">
        <v>73</v>
      </c>
      <c r="G135" s="156" t="s">
        <v>551</v>
      </c>
      <c r="H135" s="156" t="s">
        <v>618</v>
      </c>
      <c r="I135" s="157" t="s">
        <v>625</v>
      </c>
      <c r="J135" s="156" t="b">
        <v>1</v>
      </c>
      <c r="K135" s="156" t="b">
        <v>0</v>
      </c>
      <c r="L135" s="156" t="b">
        <v>0</v>
      </c>
      <c r="M135" s="156" t="b">
        <v>0</v>
      </c>
      <c r="N135" s="156"/>
      <c r="O135" s="156" t="s">
        <v>620</v>
      </c>
      <c r="P135" s="156" t="s">
        <v>2424</v>
      </c>
      <c r="Q135" s="156" t="s">
        <v>547</v>
      </c>
      <c r="R135" s="156" t="s">
        <v>2427</v>
      </c>
      <c r="S135" s="157" t="s">
        <v>621</v>
      </c>
      <c r="T135" s="157" t="s">
        <v>626</v>
      </c>
      <c r="U135" s="157" t="s">
        <v>655</v>
      </c>
      <c r="V135" s="157" t="s">
        <v>621</v>
      </c>
      <c r="W135" s="157" t="s">
        <v>626</v>
      </c>
      <c r="X135" s="156" t="b">
        <v>0</v>
      </c>
      <c r="Y135" s="156" t="b">
        <v>0</v>
      </c>
      <c r="Z135" s="156" t="b">
        <v>0</v>
      </c>
      <c r="AA135" s="156" t="b">
        <v>0</v>
      </c>
      <c r="AB135" s="156"/>
      <c r="AC135" s="156" t="s">
        <v>627</v>
      </c>
      <c r="AD135" s="156" t="s">
        <v>651</v>
      </c>
      <c r="AE135" s="156" t="s">
        <v>624</v>
      </c>
      <c r="AF135" s="158" t="s">
        <v>368</v>
      </c>
      <c r="AG135" s="156"/>
      <c r="AH135" s="158"/>
      <c r="AI135" s="158"/>
      <c r="AJ135" s="158"/>
      <c r="AK135" s="158"/>
      <c r="AL135" s="158"/>
      <c r="AM135" s="158"/>
      <c r="AN135" s="158"/>
      <c r="AO135" s="158"/>
      <c r="AP135" s="158"/>
      <c r="AQ135" s="158"/>
      <c r="AR135" s="158"/>
      <c r="AS135" s="158"/>
      <c r="AT135" s="158"/>
      <c r="AU135" s="158"/>
    </row>
    <row r="136" spans="3:47" s="1" customFormat="1" x14ac:dyDescent="0.25">
      <c r="C136" s="155">
        <v>132</v>
      </c>
      <c r="D136" s="156" t="s">
        <v>828</v>
      </c>
      <c r="E136" s="156" t="s">
        <v>1307</v>
      </c>
      <c r="F136" s="156" t="s">
        <v>126</v>
      </c>
      <c r="G136" s="156" t="s">
        <v>551</v>
      </c>
      <c r="H136" s="156" t="s">
        <v>2180</v>
      </c>
      <c r="I136" s="157" t="s">
        <v>2181</v>
      </c>
      <c r="J136" s="156" t="b">
        <v>1</v>
      </c>
      <c r="K136" s="156" t="b">
        <v>0</v>
      </c>
      <c r="L136" s="156" t="b">
        <v>0</v>
      </c>
      <c r="M136" s="156" t="b">
        <v>0</v>
      </c>
      <c r="N136" s="156"/>
      <c r="O136" s="156" t="s">
        <v>1517</v>
      </c>
      <c r="P136" s="156" t="s">
        <v>2424</v>
      </c>
      <c r="Q136" s="156"/>
      <c r="R136" s="156" t="s">
        <v>2182</v>
      </c>
      <c r="S136" s="157" t="s">
        <v>2183</v>
      </c>
      <c r="T136" s="157" t="s">
        <v>2184</v>
      </c>
      <c r="U136" s="157" t="s">
        <v>552</v>
      </c>
      <c r="V136" s="157" t="s">
        <v>2183</v>
      </c>
      <c r="W136" s="157" t="s">
        <v>2184</v>
      </c>
      <c r="X136" s="156" t="b">
        <v>0</v>
      </c>
      <c r="Y136" s="156" t="b">
        <v>0</v>
      </c>
      <c r="Z136" s="156" t="b">
        <v>0</v>
      </c>
      <c r="AA136" s="156" t="b">
        <v>0</v>
      </c>
      <c r="AB136" s="156"/>
      <c r="AC136" s="156" t="s">
        <v>490</v>
      </c>
      <c r="AD136" s="156" t="s">
        <v>2185</v>
      </c>
      <c r="AE136" s="156" t="s">
        <v>2186</v>
      </c>
      <c r="AF136" s="158" t="s">
        <v>373</v>
      </c>
      <c r="AG136" s="156"/>
      <c r="AH136" s="158"/>
      <c r="AI136" s="158"/>
      <c r="AJ136" s="158"/>
      <c r="AK136" s="158"/>
      <c r="AL136" s="158"/>
      <c r="AM136" s="158"/>
      <c r="AN136" s="158"/>
      <c r="AO136" s="158"/>
      <c r="AP136" s="158"/>
      <c r="AQ136" s="158"/>
      <c r="AR136" s="158"/>
      <c r="AS136" s="158"/>
      <c r="AT136" s="158"/>
      <c r="AU136" s="158"/>
    </row>
    <row r="137" spans="3:47" s="1" customFormat="1" x14ac:dyDescent="0.25">
      <c r="C137" s="155">
        <v>133</v>
      </c>
      <c r="D137" s="156" t="s">
        <v>828</v>
      </c>
      <c r="E137" s="156" t="s">
        <v>1307</v>
      </c>
      <c r="F137" s="156" t="s">
        <v>2360</v>
      </c>
      <c r="G137" s="156" t="s">
        <v>551</v>
      </c>
      <c r="H137" s="156" t="s">
        <v>2180</v>
      </c>
      <c r="I137" s="157" t="s">
        <v>2187</v>
      </c>
      <c r="J137" s="156" t="b">
        <v>1</v>
      </c>
      <c r="K137" s="156" t="b">
        <v>0</v>
      </c>
      <c r="L137" s="156" t="b">
        <v>0</v>
      </c>
      <c r="M137" s="156" t="b">
        <v>0</v>
      </c>
      <c r="N137" s="156"/>
      <c r="O137" s="156" t="s">
        <v>1517</v>
      </c>
      <c r="P137" s="156" t="s">
        <v>2424</v>
      </c>
      <c r="Q137" s="156"/>
      <c r="R137" s="156" t="s">
        <v>2182</v>
      </c>
      <c r="S137" s="157" t="s">
        <v>2183</v>
      </c>
      <c r="T137" s="157" t="s">
        <v>2188</v>
      </c>
      <c r="U137" s="157" t="s">
        <v>552</v>
      </c>
      <c r="V137" s="157" t="s">
        <v>2183</v>
      </c>
      <c r="W137" s="157" t="s">
        <v>2188</v>
      </c>
      <c r="X137" s="156" t="b">
        <v>0</v>
      </c>
      <c r="Y137" s="156" t="b">
        <v>0</v>
      </c>
      <c r="Z137" s="156" t="b">
        <v>0</v>
      </c>
      <c r="AA137" s="156" t="b">
        <v>0</v>
      </c>
      <c r="AB137" s="156"/>
      <c r="AC137" s="156" t="s">
        <v>405</v>
      </c>
      <c r="AD137" s="156" t="s">
        <v>2347</v>
      </c>
      <c r="AE137" s="156" t="s">
        <v>2186</v>
      </c>
      <c r="AF137" s="158" t="s">
        <v>373</v>
      </c>
      <c r="AG137" s="156"/>
      <c r="AH137" s="158"/>
      <c r="AI137" s="158"/>
      <c r="AJ137" s="158"/>
      <c r="AK137" s="158"/>
      <c r="AL137" s="158"/>
      <c r="AM137" s="158"/>
      <c r="AN137" s="158"/>
      <c r="AO137" s="158"/>
      <c r="AP137" s="158"/>
      <c r="AQ137" s="158"/>
      <c r="AR137" s="158"/>
      <c r="AS137" s="158"/>
      <c r="AT137" s="158"/>
      <c r="AU137" s="158"/>
    </row>
    <row r="138" spans="3:47" s="1" customFormat="1" x14ac:dyDescent="0.25">
      <c r="C138" s="155">
        <v>134</v>
      </c>
      <c r="D138" s="156" t="s">
        <v>828</v>
      </c>
      <c r="E138" s="156" t="s">
        <v>1307</v>
      </c>
      <c r="F138" s="156" t="s">
        <v>126</v>
      </c>
      <c r="G138" s="156" t="s">
        <v>551</v>
      </c>
      <c r="H138" s="156" t="s">
        <v>2180</v>
      </c>
      <c r="I138" s="157" t="s">
        <v>2189</v>
      </c>
      <c r="J138" s="156" t="b">
        <v>1</v>
      </c>
      <c r="K138" s="156" t="b">
        <v>0</v>
      </c>
      <c r="L138" s="156" t="b">
        <v>0</v>
      </c>
      <c r="M138" s="156" t="b">
        <v>0</v>
      </c>
      <c r="N138" s="156"/>
      <c r="O138" s="156"/>
      <c r="P138" s="156" t="s">
        <v>2424</v>
      </c>
      <c r="Q138" s="156"/>
      <c r="R138" s="156" t="s">
        <v>2182</v>
      </c>
      <c r="S138" s="157" t="s">
        <v>2183</v>
      </c>
      <c r="T138" s="157" t="s">
        <v>2190</v>
      </c>
      <c r="U138" s="157" t="s">
        <v>552</v>
      </c>
      <c r="V138" s="157" t="s">
        <v>2183</v>
      </c>
      <c r="W138" s="157" t="s">
        <v>2190</v>
      </c>
      <c r="X138" s="156" t="b">
        <v>0</v>
      </c>
      <c r="Y138" s="156" t="b">
        <v>0</v>
      </c>
      <c r="Z138" s="156" t="b">
        <v>0</v>
      </c>
      <c r="AA138" s="156" t="b">
        <v>0</v>
      </c>
      <c r="AB138" s="156"/>
      <c r="AC138" s="156" t="s">
        <v>2191</v>
      </c>
      <c r="AD138" s="156" t="s">
        <v>2185</v>
      </c>
      <c r="AE138" s="156" t="s">
        <v>2192</v>
      </c>
      <c r="AF138" s="158" t="s">
        <v>2193</v>
      </c>
      <c r="AG138" s="156"/>
      <c r="AH138" s="158"/>
      <c r="AI138" s="158"/>
      <c r="AJ138" s="158"/>
      <c r="AK138" s="158"/>
      <c r="AL138" s="158"/>
      <c r="AM138" s="158"/>
      <c r="AN138" s="158"/>
      <c r="AO138" s="158"/>
      <c r="AP138" s="158"/>
      <c r="AQ138" s="158"/>
      <c r="AR138" s="158"/>
      <c r="AS138" s="158"/>
      <c r="AT138" s="158"/>
      <c r="AU138" s="158"/>
    </row>
    <row r="139" spans="3:47" s="1" customFormat="1" x14ac:dyDescent="0.25">
      <c r="C139" s="155">
        <v>135</v>
      </c>
      <c r="D139" s="156" t="s">
        <v>828</v>
      </c>
      <c r="E139" s="156" t="s">
        <v>1307</v>
      </c>
      <c r="F139" s="156" t="s">
        <v>73</v>
      </c>
      <c r="G139" s="156" t="s">
        <v>551</v>
      </c>
      <c r="H139" s="156" t="s">
        <v>807</v>
      </c>
      <c r="I139" s="157" t="s">
        <v>808</v>
      </c>
      <c r="J139" s="156" t="b">
        <v>1</v>
      </c>
      <c r="K139" s="156" t="b">
        <v>0</v>
      </c>
      <c r="L139" s="156" t="b">
        <v>0</v>
      </c>
      <c r="M139" s="156" t="b">
        <v>0</v>
      </c>
      <c r="N139" s="156"/>
      <c r="O139" s="156" t="s">
        <v>576</v>
      </c>
      <c r="P139" s="156" t="s">
        <v>2424</v>
      </c>
      <c r="Q139" s="156"/>
      <c r="R139" s="156" t="s">
        <v>262</v>
      </c>
      <c r="S139" s="157" t="s">
        <v>809</v>
      </c>
      <c r="T139" s="157" t="s">
        <v>810</v>
      </c>
      <c r="U139" s="157" t="s">
        <v>552</v>
      </c>
      <c r="V139" s="157" t="s">
        <v>809</v>
      </c>
      <c r="W139" s="157" t="s">
        <v>810</v>
      </c>
      <c r="X139" s="156" t="b">
        <v>0</v>
      </c>
      <c r="Y139" s="156" t="b">
        <v>0</v>
      </c>
      <c r="Z139" s="156" t="b">
        <v>0</v>
      </c>
      <c r="AA139" s="156" t="b">
        <v>0</v>
      </c>
      <c r="AB139" s="156"/>
      <c r="AC139" s="156" t="s">
        <v>811</v>
      </c>
      <c r="AD139" s="156" t="s">
        <v>2342</v>
      </c>
      <c r="AE139" s="156" t="s">
        <v>812</v>
      </c>
      <c r="AF139" s="158" t="s">
        <v>1798</v>
      </c>
      <c r="AG139" s="156"/>
      <c r="AH139" s="158"/>
      <c r="AI139" s="158"/>
      <c r="AJ139" s="158"/>
      <c r="AK139" s="158"/>
      <c r="AL139" s="158"/>
      <c r="AM139" s="158"/>
      <c r="AN139" s="158"/>
      <c r="AO139" s="158"/>
      <c r="AP139" s="158"/>
      <c r="AQ139" s="158"/>
      <c r="AR139" s="158"/>
      <c r="AS139" s="158"/>
      <c r="AT139" s="158"/>
      <c r="AU139" s="158"/>
    </row>
    <row r="140" spans="3:47" s="1" customFormat="1" x14ac:dyDescent="0.25">
      <c r="C140" s="155">
        <v>136</v>
      </c>
      <c r="D140" s="156"/>
      <c r="E140" s="156"/>
      <c r="F140" s="156"/>
      <c r="G140" s="156"/>
      <c r="H140" s="156"/>
      <c r="I140" s="157" t="s">
        <v>651</v>
      </c>
      <c r="J140" s="156" t="b">
        <v>0</v>
      </c>
      <c r="K140" s="156" t="b">
        <v>0</v>
      </c>
      <c r="L140" s="156" t="b">
        <v>0</v>
      </c>
      <c r="M140" s="156" t="b">
        <v>0</v>
      </c>
      <c r="N140" s="156"/>
      <c r="O140" s="156"/>
      <c r="P140" s="156"/>
      <c r="Q140" s="156"/>
      <c r="R140" s="156"/>
      <c r="S140" s="157" t="s">
        <v>2383</v>
      </c>
      <c r="T140" s="157" t="s">
        <v>2384</v>
      </c>
      <c r="U140" s="157" t="s">
        <v>651</v>
      </c>
      <c r="V140" s="157" t="s">
        <v>2383</v>
      </c>
      <c r="W140" s="157" t="s">
        <v>2384</v>
      </c>
      <c r="X140" s="156" t="b">
        <v>0</v>
      </c>
      <c r="Y140" s="156" t="b">
        <v>0</v>
      </c>
      <c r="Z140" s="156" t="b">
        <v>0</v>
      </c>
      <c r="AA140" s="156" t="b">
        <v>0</v>
      </c>
      <c r="AB140" s="156"/>
      <c r="AC140" s="156" t="s">
        <v>2385</v>
      </c>
      <c r="AD140" s="156" t="s">
        <v>651</v>
      </c>
      <c r="AE140" s="156" t="s">
        <v>651</v>
      </c>
      <c r="AF140" s="158" t="s">
        <v>651</v>
      </c>
      <c r="AG140" s="156"/>
      <c r="AH140" s="158"/>
      <c r="AI140" s="158"/>
      <c r="AJ140" s="158"/>
      <c r="AK140" s="158"/>
      <c r="AL140" s="158"/>
      <c r="AM140" s="158"/>
      <c r="AN140" s="158"/>
      <c r="AO140" s="158"/>
      <c r="AP140" s="158"/>
      <c r="AQ140" s="158"/>
      <c r="AR140" s="158"/>
      <c r="AS140" s="158"/>
      <c r="AT140" s="158"/>
      <c r="AU140" s="158"/>
    </row>
    <row r="141" spans="3:47" s="1" customFormat="1" x14ac:dyDescent="0.25">
      <c r="C141" s="155">
        <v>137</v>
      </c>
      <c r="D141" s="156" t="s">
        <v>828</v>
      </c>
      <c r="E141" s="156" t="s">
        <v>1307</v>
      </c>
      <c r="F141" s="156" t="s">
        <v>73</v>
      </c>
      <c r="G141" s="156" t="s">
        <v>551</v>
      </c>
      <c r="H141" s="156" t="s">
        <v>49</v>
      </c>
      <c r="I141" s="157" t="s">
        <v>2535</v>
      </c>
      <c r="J141" s="156" t="b">
        <v>1</v>
      </c>
      <c r="K141" s="156" t="b">
        <v>0</v>
      </c>
      <c r="L141" s="156" t="b">
        <v>0</v>
      </c>
      <c r="M141" s="156" t="b">
        <v>0</v>
      </c>
      <c r="N141" s="156"/>
      <c r="O141" s="156" t="s">
        <v>576</v>
      </c>
      <c r="P141" s="156" t="s">
        <v>2424</v>
      </c>
      <c r="Q141" s="156" t="s">
        <v>547</v>
      </c>
      <c r="R141" s="156" t="s">
        <v>2536</v>
      </c>
      <c r="S141" s="157" t="s">
        <v>2537</v>
      </c>
      <c r="T141" s="157" t="s">
        <v>2538</v>
      </c>
      <c r="U141" s="157" t="s">
        <v>655</v>
      </c>
      <c r="V141" s="157" t="s">
        <v>2537</v>
      </c>
      <c r="W141" s="157" t="s">
        <v>2538</v>
      </c>
      <c r="X141" s="156" t="b">
        <v>0</v>
      </c>
      <c r="Y141" s="156" t="b">
        <v>0</v>
      </c>
      <c r="Z141" s="156" t="b">
        <v>0</v>
      </c>
      <c r="AA141" s="156" t="b">
        <v>0</v>
      </c>
      <c r="AB141" s="156"/>
      <c r="AC141" s="156" t="s">
        <v>2453</v>
      </c>
      <c r="AD141" s="156" t="s">
        <v>2539</v>
      </c>
      <c r="AE141" s="156" t="s">
        <v>2540</v>
      </c>
      <c r="AF141" s="158" t="s">
        <v>1798</v>
      </c>
      <c r="AG141" s="156"/>
      <c r="AH141" s="158"/>
      <c r="AI141" s="158"/>
      <c r="AJ141" s="158"/>
      <c r="AK141" s="158"/>
      <c r="AL141" s="158"/>
      <c r="AM141" s="158"/>
      <c r="AN141" s="158"/>
      <c r="AO141" s="158"/>
      <c r="AP141" s="158"/>
      <c r="AQ141" s="158"/>
      <c r="AR141" s="158"/>
      <c r="AS141" s="158"/>
      <c r="AT141" s="158"/>
      <c r="AU141" s="158"/>
    </row>
    <row r="142" spans="3:47" s="1" customFormat="1" x14ac:dyDescent="0.25">
      <c r="C142" s="155">
        <v>138</v>
      </c>
      <c r="D142" s="156" t="s">
        <v>828</v>
      </c>
      <c r="E142" s="156" t="s">
        <v>1307</v>
      </c>
      <c r="F142" s="156" t="s">
        <v>2388</v>
      </c>
      <c r="G142" s="156" t="s">
        <v>551</v>
      </c>
      <c r="H142" s="156" t="s">
        <v>1102</v>
      </c>
      <c r="I142" s="157" t="s">
        <v>1103</v>
      </c>
      <c r="J142" s="156" t="b">
        <v>1</v>
      </c>
      <c r="K142" s="156" t="b">
        <v>0</v>
      </c>
      <c r="L142" s="156" t="b">
        <v>0</v>
      </c>
      <c r="M142" s="156" t="b">
        <v>0</v>
      </c>
      <c r="N142" s="156"/>
      <c r="O142" s="156" t="s">
        <v>620</v>
      </c>
      <c r="P142" s="156" t="s">
        <v>2424</v>
      </c>
      <c r="Q142" s="156"/>
      <c r="R142" s="156" t="s">
        <v>1104</v>
      </c>
      <c r="S142" s="157" t="s">
        <v>1105</v>
      </c>
      <c r="T142" s="157" t="s">
        <v>1106</v>
      </c>
      <c r="U142" s="157" t="s">
        <v>655</v>
      </c>
      <c r="V142" s="157" t="s">
        <v>1105</v>
      </c>
      <c r="W142" s="157" t="s">
        <v>1106</v>
      </c>
      <c r="X142" s="156" t="b">
        <v>0</v>
      </c>
      <c r="Y142" s="156" t="b">
        <v>0</v>
      </c>
      <c r="Z142" s="156" t="b">
        <v>0</v>
      </c>
      <c r="AA142" s="156" t="b">
        <v>0</v>
      </c>
      <c r="AB142" s="156"/>
      <c r="AC142" s="156" t="s">
        <v>873</v>
      </c>
      <c r="AD142" s="156" t="s">
        <v>2539</v>
      </c>
      <c r="AE142" s="156" t="s">
        <v>1107</v>
      </c>
      <c r="AF142" s="158" t="s">
        <v>368</v>
      </c>
      <c r="AG142" s="156"/>
      <c r="AH142" s="158"/>
      <c r="AI142" s="158"/>
      <c r="AJ142" s="158"/>
      <c r="AK142" s="158"/>
      <c r="AL142" s="158"/>
      <c r="AM142" s="158"/>
      <c r="AN142" s="158"/>
      <c r="AO142" s="158"/>
      <c r="AP142" s="158"/>
      <c r="AQ142" s="158"/>
      <c r="AR142" s="158"/>
      <c r="AS142" s="158"/>
      <c r="AT142" s="158"/>
      <c r="AU142" s="158"/>
    </row>
    <row r="143" spans="3:47" s="1" customFormat="1" x14ac:dyDescent="0.25">
      <c r="C143" s="155">
        <v>139</v>
      </c>
      <c r="D143" s="156" t="s">
        <v>828</v>
      </c>
      <c r="E143" s="156" t="s">
        <v>1307</v>
      </c>
      <c r="F143" s="156" t="s">
        <v>2388</v>
      </c>
      <c r="G143" s="156" t="s">
        <v>551</v>
      </c>
      <c r="H143" s="156" t="s">
        <v>1227</v>
      </c>
      <c r="I143" s="157" t="s">
        <v>1397</v>
      </c>
      <c r="J143" s="156" t="b">
        <v>1</v>
      </c>
      <c r="K143" s="156" t="b">
        <v>0</v>
      </c>
      <c r="L143" s="156" t="b">
        <v>0</v>
      </c>
      <c r="M143" s="156" t="b">
        <v>0</v>
      </c>
      <c r="N143" s="156"/>
      <c r="O143" s="156" t="s">
        <v>1228</v>
      </c>
      <c r="P143" s="156" t="s">
        <v>2424</v>
      </c>
      <c r="Q143" s="156" t="s">
        <v>547</v>
      </c>
      <c r="R143" s="156" t="s">
        <v>262</v>
      </c>
      <c r="S143" s="157" t="s">
        <v>1229</v>
      </c>
      <c r="T143" s="157" t="s">
        <v>1230</v>
      </c>
      <c r="U143" s="157" t="s">
        <v>700</v>
      </c>
      <c r="V143" s="157" t="s">
        <v>1229</v>
      </c>
      <c r="W143" s="157" t="s">
        <v>1230</v>
      </c>
      <c r="X143" s="156" t="b">
        <v>0</v>
      </c>
      <c r="Y143" s="156" t="b">
        <v>0</v>
      </c>
      <c r="Z143" s="156" t="b">
        <v>0</v>
      </c>
      <c r="AA143" s="156" t="b">
        <v>0</v>
      </c>
      <c r="AB143" s="156"/>
      <c r="AC143" s="156" t="s">
        <v>1231</v>
      </c>
      <c r="AD143" s="156" t="s">
        <v>2342</v>
      </c>
      <c r="AE143" s="156" t="s">
        <v>1232</v>
      </c>
      <c r="AF143" s="158" t="s">
        <v>1233</v>
      </c>
      <c r="AG143" s="156"/>
      <c r="AH143" s="158"/>
      <c r="AI143" s="158"/>
      <c r="AJ143" s="158"/>
      <c r="AK143" s="158"/>
      <c r="AL143" s="158"/>
      <c r="AM143" s="158"/>
      <c r="AN143" s="158"/>
      <c r="AO143" s="158"/>
      <c r="AP143" s="158"/>
      <c r="AQ143" s="158"/>
      <c r="AR143" s="158"/>
      <c r="AS143" s="158"/>
      <c r="AT143" s="158"/>
      <c r="AU143" s="158"/>
    </row>
    <row r="144" spans="3:47" s="1" customFormat="1" x14ac:dyDescent="0.25">
      <c r="C144" s="155">
        <v>140</v>
      </c>
      <c r="D144" s="156" t="s">
        <v>1115</v>
      </c>
      <c r="E144" s="156" t="s">
        <v>1348</v>
      </c>
      <c r="F144" s="156" t="s">
        <v>2362</v>
      </c>
      <c r="G144" s="156" t="s">
        <v>551</v>
      </c>
      <c r="H144" s="156"/>
      <c r="I144" s="157" t="s">
        <v>1011</v>
      </c>
      <c r="J144" s="156" t="b">
        <v>1</v>
      </c>
      <c r="K144" s="156" t="b">
        <v>0</v>
      </c>
      <c r="L144" s="156" t="b">
        <v>0</v>
      </c>
      <c r="M144" s="156" t="b">
        <v>0</v>
      </c>
      <c r="N144" s="156"/>
      <c r="O144" s="156" t="s">
        <v>1349</v>
      </c>
      <c r="P144" s="156" t="s">
        <v>67</v>
      </c>
      <c r="Q144" s="156" t="s">
        <v>547</v>
      </c>
      <c r="R144" s="156" t="s">
        <v>1350</v>
      </c>
      <c r="S144" s="157" t="s">
        <v>1351</v>
      </c>
      <c r="T144" s="157" t="s">
        <v>1014</v>
      </c>
      <c r="U144" s="157" t="s">
        <v>653</v>
      </c>
      <c r="V144" s="157" t="s">
        <v>1351</v>
      </c>
      <c r="W144" s="157" t="s">
        <v>1014</v>
      </c>
      <c r="X144" s="156" t="b">
        <v>0</v>
      </c>
      <c r="Y144" s="156" t="b">
        <v>0</v>
      </c>
      <c r="Z144" s="156" t="b">
        <v>0</v>
      </c>
      <c r="AA144" s="156" t="b">
        <v>0</v>
      </c>
      <c r="AB144" s="156"/>
      <c r="AC144" s="156" t="s">
        <v>1352</v>
      </c>
      <c r="AD144" s="156" t="s">
        <v>2342</v>
      </c>
      <c r="AE144" s="156" t="s">
        <v>1353</v>
      </c>
      <c r="AF144" s="158" t="s">
        <v>1886</v>
      </c>
      <c r="AG144" s="156"/>
      <c r="AH144" s="158"/>
      <c r="AI144" s="158"/>
      <c r="AJ144" s="158"/>
      <c r="AK144" s="158"/>
      <c r="AL144" s="158"/>
      <c r="AM144" s="158"/>
      <c r="AN144" s="158"/>
      <c r="AO144" s="158"/>
      <c r="AP144" s="158"/>
      <c r="AQ144" s="158"/>
      <c r="AR144" s="158"/>
      <c r="AS144" s="158"/>
      <c r="AT144" s="158"/>
      <c r="AU144" s="158"/>
    </row>
    <row r="145" spans="3:47" s="1" customFormat="1" x14ac:dyDescent="0.25">
      <c r="C145" s="155">
        <v>141</v>
      </c>
      <c r="D145" s="156" t="s">
        <v>840</v>
      </c>
      <c r="E145" s="156" t="s">
        <v>1313</v>
      </c>
      <c r="F145" s="156" t="s">
        <v>2355</v>
      </c>
      <c r="G145" s="156" t="s">
        <v>551</v>
      </c>
      <c r="H145" s="156" t="s">
        <v>3007</v>
      </c>
      <c r="I145" s="157" t="s">
        <v>3008</v>
      </c>
      <c r="J145" s="156" t="b">
        <v>1</v>
      </c>
      <c r="K145" s="156" t="b">
        <v>0</v>
      </c>
      <c r="L145" s="156" t="b">
        <v>0</v>
      </c>
      <c r="M145" s="156" t="b">
        <v>0</v>
      </c>
      <c r="N145" s="156"/>
      <c r="O145" s="156"/>
      <c r="P145" s="156" t="s">
        <v>2424</v>
      </c>
      <c r="Q145" s="156" t="s">
        <v>547</v>
      </c>
      <c r="R145" s="156" t="s">
        <v>3009</v>
      </c>
      <c r="S145" s="157" t="s">
        <v>3010</v>
      </c>
      <c r="T145" s="157" t="s">
        <v>127</v>
      </c>
      <c r="U145" s="157" t="s">
        <v>653</v>
      </c>
      <c r="V145" s="157" t="s">
        <v>3010</v>
      </c>
      <c r="W145" s="157" t="s">
        <v>127</v>
      </c>
      <c r="X145" s="156" t="b">
        <v>0</v>
      </c>
      <c r="Y145" s="156" t="b">
        <v>0</v>
      </c>
      <c r="Z145" s="156" t="b">
        <v>0</v>
      </c>
      <c r="AA145" s="156" t="b">
        <v>0</v>
      </c>
      <c r="AB145" s="156"/>
      <c r="AC145" s="156" t="s">
        <v>3011</v>
      </c>
      <c r="AD145" s="156" t="s">
        <v>2314</v>
      </c>
      <c r="AE145" s="156" t="s">
        <v>3012</v>
      </c>
      <c r="AF145" s="158" t="s">
        <v>3013</v>
      </c>
      <c r="AG145" s="156"/>
      <c r="AH145" s="158"/>
      <c r="AI145" s="158"/>
      <c r="AJ145" s="158"/>
      <c r="AK145" s="158"/>
      <c r="AL145" s="158"/>
      <c r="AM145" s="158"/>
      <c r="AN145" s="158"/>
      <c r="AO145" s="158"/>
      <c r="AP145" s="158"/>
      <c r="AQ145" s="158"/>
      <c r="AR145" s="158"/>
      <c r="AS145" s="158"/>
      <c r="AT145" s="158"/>
      <c r="AU145" s="158"/>
    </row>
    <row r="146" spans="3:47" s="1" customFormat="1" x14ac:dyDescent="0.25">
      <c r="C146" s="155">
        <v>142</v>
      </c>
      <c r="D146" s="156" t="s">
        <v>828</v>
      </c>
      <c r="E146" s="156" t="s">
        <v>1307</v>
      </c>
      <c r="F146" s="156" t="s">
        <v>126</v>
      </c>
      <c r="G146" s="156" t="s">
        <v>551</v>
      </c>
      <c r="H146" s="156"/>
      <c r="I146" s="157" t="s">
        <v>3014</v>
      </c>
      <c r="J146" s="156" t="b">
        <v>1</v>
      </c>
      <c r="K146" s="156" t="b">
        <v>0</v>
      </c>
      <c r="L146" s="156" t="b">
        <v>0</v>
      </c>
      <c r="M146" s="156" t="b">
        <v>0</v>
      </c>
      <c r="N146" s="156"/>
      <c r="O146" s="156" t="s">
        <v>3015</v>
      </c>
      <c r="P146" s="156" t="s">
        <v>67</v>
      </c>
      <c r="Q146" s="156" t="s">
        <v>3016</v>
      </c>
      <c r="R146" s="156" t="s">
        <v>3017</v>
      </c>
      <c r="S146" s="157" t="s">
        <v>3018</v>
      </c>
      <c r="T146" s="157" t="s">
        <v>3019</v>
      </c>
      <c r="U146" s="157" t="s">
        <v>653</v>
      </c>
      <c r="V146" s="157" t="s">
        <v>3018</v>
      </c>
      <c r="W146" s="157" t="s">
        <v>3019</v>
      </c>
      <c r="X146" s="156" t="b">
        <v>0</v>
      </c>
      <c r="Y146" s="156" t="b">
        <v>0</v>
      </c>
      <c r="Z146" s="156" t="b">
        <v>0</v>
      </c>
      <c r="AA146" s="156" t="b">
        <v>0</v>
      </c>
      <c r="AB146" s="156"/>
      <c r="AC146" s="156" t="s">
        <v>132</v>
      </c>
      <c r="AD146" s="156" t="s">
        <v>2344</v>
      </c>
      <c r="AE146" s="156" t="s">
        <v>3020</v>
      </c>
      <c r="AF146" s="158" t="s">
        <v>106</v>
      </c>
      <c r="AG146" s="156"/>
      <c r="AH146" s="158"/>
      <c r="AI146" s="158"/>
      <c r="AJ146" s="158"/>
      <c r="AK146" s="158"/>
      <c r="AL146" s="158"/>
      <c r="AM146" s="158"/>
      <c r="AN146" s="158"/>
      <c r="AO146" s="158"/>
      <c r="AP146" s="158"/>
      <c r="AQ146" s="158"/>
      <c r="AR146" s="158"/>
      <c r="AS146" s="158"/>
      <c r="AT146" s="158"/>
      <c r="AU146" s="158"/>
    </row>
    <row r="147" spans="3:47" s="1" customFormat="1" x14ac:dyDescent="0.25">
      <c r="C147" s="155">
        <v>143</v>
      </c>
      <c r="D147" s="156" t="s">
        <v>828</v>
      </c>
      <c r="E147" s="156" t="s">
        <v>1307</v>
      </c>
      <c r="F147" s="156" t="s">
        <v>2357</v>
      </c>
      <c r="G147" s="156" t="s">
        <v>551</v>
      </c>
      <c r="H147" s="156" t="s">
        <v>3021</v>
      </c>
      <c r="I147" s="157" t="s">
        <v>427</v>
      </c>
      <c r="J147" s="156" t="b">
        <v>1</v>
      </c>
      <c r="K147" s="156" t="b">
        <v>0</v>
      </c>
      <c r="L147" s="156" t="b">
        <v>0</v>
      </c>
      <c r="M147" s="156" t="b">
        <v>0</v>
      </c>
      <c r="N147" s="156"/>
      <c r="O147" s="156"/>
      <c r="P147" s="156" t="s">
        <v>2424</v>
      </c>
      <c r="Q147" s="156"/>
      <c r="R147" s="156" t="s">
        <v>3022</v>
      </c>
      <c r="S147" s="157" t="s">
        <v>3023</v>
      </c>
      <c r="T147" s="157" t="s">
        <v>3024</v>
      </c>
      <c r="U147" s="157" t="s">
        <v>655</v>
      </c>
      <c r="V147" s="157" t="s">
        <v>3023</v>
      </c>
      <c r="W147" s="157" t="s">
        <v>3024</v>
      </c>
      <c r="X147" s="156" t="b">
        <v>0</v>
      </c>
      <c r="Y147" s="156" t="b">
        <v>0</v>
      </c>
      <c r="Z147" s="156" t="b">
        <v>0</v>
      </c>
      <c r="AA147" s="156" t="b">
        <v>0</v>
      </c>
      <c r="AB147" s="156"/>
      <c r="AC147" s="156" t="s">
        <v>3025</v>
      </c>
      <c r="AD147" s="156" t="s">
        <v>651</v>
      </c>
      <c r="AE147" s="156" t="s">
        <v>3026</v>
      </c>
      <c r="AF147" s="158" t="s">
        <v>112</v>
      </c>
      <c r="AG147" s="156"/>
      <c r="AH147" s="158"/>
      <c r="AI147" s="158"/>
      <c r="AJ147" s="158"/>
      <c r="AK147" s="158"/>
      <c r="AL147" s="158"/>
      <c r="AM147" s="158"/>
      <c r="AN147" s="158"/>
      <c r="AO147" s="158"/>
      <c r="AP147" s="158"/>
      <c r="AQ147" s="158"/>
      <c r="AR147" s="158"/>
      <c r="AS147" s="158"/>
      <c r="AT147" s="158"/>
      <c r="AU147" s="158"/>
    </row>
    <row r="148" spans="3:47" s="1" customFormat="1" x14ac:dyDescent="0.25">
      <c r="C148" s="155">
        <v>144</v>
      </c>
      <c r="D148" s="156" t="s">
        <v>1115</v>
      </c>
      <c r="E148" s="156" t="s">
        <v>1348</v>
      </c>
      <c r="F148" s="156" t="s">
        <v>126</v>
      </c>
      <c r="G148" s="156" t="s">
        <v>551</v>
      </c>
      <c r="H148" s="156" t="s">
        <v>3027</v>
      </c>
      <c r="I148" s="157" t="s">
        <v>3028</v>
      </c>
      <c r="J148" s="156" t="b">
        <v>1</v>
      </c>
      <c r="K148" s="156" t="b">
        <v>0</v>
      </c>
      <c r="L148" s="156" t="b">
        <v>0</v>
      </c>
      <c r="M148" s="156" t="b">
        <v>0</v>
      </c>
      <c r="N148" s="156"/>
      <c r="O148" s="156"/>
      <c r="P148" s="156" t="s">
        <v>67</v>
      </c>
      <c r="Q148" s="156" t="s">
        <v>547</v>
      </c>
      <c r="R148" s="156" t="s">
        <v>3029</v>
      </c>
      <c r="S148" s="157" t="s">
        <v>3030</v>
      </c>
      <c r="T148" s="157" t="s">
        <v>3031</v>
      </c>
      <c r="U148" s="157" t="s">
        <v>653</v>
      </c>
      <c r="V148" s="157" t="s">
        <v>3030</v>
      </c>
      <c r="W148" s="157" t="s">
        <v>3031</v>
      </c>
      <c r="X148" s="156" t="b">
        <v>0</v>
      </c>
      <c r="Y148" s="156" t="b">
        <v>0</v>
      </c>
      <c r="Z148" s="156" t="b">
        <v>0</v>
      </c>
      <c r="AA148" s="156" t="b">
        <v>0</v>
      </c>
      <c r="AB148" s="156"/>
      <c r="AC148" s="156" t="s">
        <v>3032</v>
      </c>
      <c r="AD148" s="156" t="s">
        <v>2342</v>
      </c>
      <c r="AE148" s="156" t="s">
        <v>651</v>
      </c>
      <c r="AF148" s="158" t="s">
        <v>651</v>
      </c>
      <c r="AG148" s="156"/>
      <c r="AH148" s="158"/>
      <c r="AI148" s="158"/>
      <c r="AJ148" s="158"/>
      <c r="AK148" s="158"/>
      <c r="AL148" s="158"/>
      <c r="AM148" s="158"/>
      <c r="AN148" s="158"/>
      <c r="AO148" s="158"/>
      <c r="AP148" s="158"/>
      <c r="AQ148" s="158"/>
      <c r="AR148" s="158"/>
      <c r="AS148" s="158"/>
      <c r="AT148" s="158"/>
      <c r="AU148" s="158"/>
    </row>
    <row r="149" spans="3:47" s="1" customFormat="1" x14ac:dyDescent="0.25">
      <c r="C149" s="155">
        <v>145</v>
      </c>
      <c r="D149" s="156" t="s">
        <v>828</v>
      </c>
      <c r="E149" s="156" t="s">
        <v>1307</v>
      </c>
      <c r="F149" s="156" t="s">
        <v>126</v>
      </c>
      <c r="G149" s="156" t="s">
        <v>551</v>
      </c>
      <c r="H149" s="156" t="s">
        <v>3033</v>
      </c>
      <c r="I149" s="157" t="s">
        <v>3034</v>
      </c>
      <c r="J149" s="156" t="b">
        <v>1</v>
      </c>
      <c r="K149" s="156" t="b">
        <v>0</v>
      </c>
      <c r="L149" s="156" t="b">
        <v>0</v>
      </c>
      <c r="M149" s="156" t="b">
        <v>0</v>
      </c>
      <c r="N149" s="156"/>
      <c r="O149" s="156"/>
      <c r="P149" s="156" t="s">
        <v>67</v>
      </c>
      <c r="Q149" s="156" t="s">
        <v>547</v>
      </c>
      <c r="R149" s="156" t="s">
        <v>3035</v>
      </c>
      <c r="S149" s="157" t="s">
        <v>3036</v>
      </c>
      <c r="T149" s="157" t="s">
        <v>3037</v>
      </c>
      <c r="U149" s="157" t="s">
        <v>653</v>
      </c>
      <c r="V149" s="157" t="s">
        <v>3036</v>
      </c>
      <c r="W149" s="157" t="s">
        <v>3037</v>
      </c>
      <c r="X149" s="156" t="b">
        <v>0</v>
      </c>
      <c r="Y149" s="156" t="b">
        <v>0</v>
      </c>
      <c r="Z149" s="156" t="b">
        <v>0</v>
      </c>
      <c r="AA149" s="156" t="b">
        <v>0</v>
      </c>
      <c r="AB149" s="156"/>
      <c r="AC149" s="156" t="s">
        <v>2004</v>
      </c>
      <c r="AD149" s="156" t="s">
        <v>3038</v>
      </c>
      <c r="AE149" s="156" t="s">
        <v>3039</v>
      </c>
      <c r="AF149" s="158" t="s">
        <v>3040</v>
      </c>
      <c r="AG149" s="156"/>
      <c r="AH149" s="158"/>
      <c r="AI149" s="158"/>
      <c r="AJ149" s="158"/>
      <c r="AK149" s="158"/>
      <c r="AL149" s="158"/>
      <c r="AM149" s="158"/>
      <c r="AN149" s="158"/>
      <c r="AO149" s="158"/>
      <c r="AP149" s="158"/>
      <c r="AQ149" s="158"/>
      <c r="AR149" s="158"/>
      <c r="AS149" s="158"/>
      <c r="AT149" s="158"/>
      <c r="AU149" s="158"/>
    </row>
    <row r="150" spans="3:47" s="1" customFormat="1" x14ac:dyDescent="0.25">
      <c r="C150" s="155">
        <v>146</v>
      </c>
      <c r="D150" s="156" t="s">
        <v>828</v>
      </c>
      <c r="E150" s="156" t="s">
        <v>1307</v>
      </c>
      <c r="F150" s="156"/>
      <c r="G150" s="156" t="s">
        <v>551</v>
      </c>
      <c r="H150" s="156" t="s">
        <v>3041</v>
      </c>
      <c r="I150" s="157" t="s">
        <v>3042</v>
      </c>
      <c r="J150" s="156" t="b">
        <v>1</v>
      </c>
      <c r="K150" s="156" t="b">
        <v>0</v>
      </c>
      <c r="L150" s="156" t="b">
        <v>0</v>
      </c>
      <c r="M150" s="156" t="b">
        <v>0</v>
      </c>
      <c r="N150" s="156"/>
      <c r="O150" s="156" t="s">
        <v>7</v>
      </c>
      <c r="P150" s="156" t="s">
        <v>2424</v>
      </c>
      <c r="Q150" s="156"/>
      <c r="R150" s="156" t="s">
        <v>3043</v>
      </c>
      <c r="S150" s="157" t="s">
        <v>3044</v>
      </c>
      <c r="T150" s="157" t="s">
        <v>3045</v>
      </c>
      <c r="U150" s="157" t="s">
        <v>700</v>
      </c>
      <c r="V150" s="157" t="s">
        <v>3044</v>
      </c>
      <c r="W150" s="157" t="s">
        <v>3045</v>
      </c>
      <c r="X150" s="156" t="b">
        <v>0</v>
      </c>
      <c r="Y150" s="156" t="b">
        <v>0</v>
      </c>
      <c r="Z150" s="156" t="b">
        <v>0</v>
      </c>
      <c r="AA150" s="156" t="b">
        <v>0</v>
      </c>
      <c r="AB150" s="156"/>
      <c r="AC150" s="156" t="s">
        <v>3046</v>
      </c>
      <c r="AD150" s="156" t="s">
        <v>3047</v>
      </c>
      <c r="AE150" s="156" t="s">
        <v>1664</v>
      </c>
      <c r="AF150" s="158" t="s">
        <v>3048</v>
      </c>
      <c r="AG150" s="156"/>
      <c r="AH150" s="158"/>
      <c r="AI150" s="158"/>
      <c r="AJ150" s="158"/>
      <c r="AK150" s="158"/>
      <c r="AL150" s="158"/>
      <c r="AM150" s="158"/>
      <c r="AN150" s="158"/>
      <c r="AO150" s="158"/>
      <c r="AP150" s="158"/>
      <c r="AQ150" s="158"/>
      <c r="AR150" s="158"/>
      <c r="AS150" s="158"/>
      <c r="AT150" s="158"/>
      <c r="AU150" s="158"/>
    </row>
    <row r="151" spans="3:47" s="1" customFormat="1" x14ac:dyDescent="0.25">
      <c r="C151" s="155">
        <v>147</v>
      </c>
      <c r="D151" s="156" t="s">
        <v>828</v>
      </c>
      <c r="E151" s="156" t="s">
        <v>1307</v>
      </c>
      <c r="F151" s="156" t="s">
        <v>2419</v>
      </c>
      <c r="G151" s="156" t="s">
        <v>551</v>
      </c>
      <c r="H151" s="156" t="s">
        <v>3049</v>
      </c>
      <c r="I151" s="157" t="s">
        <v>2676</v>
      </c>
      <c r="J151" s="156" t="b">
        <v>1</v>
      </c>
      <c r="K151" s="156" t="b">
        <v>0</v>
      </c>
      <c r="L151" s="156" t="b">
        <v>0</v>
      </c>
      <c r="M151" s="156" t="b">
        <v>0</v>
      </c>
      <c r="N151" s="156"/>
      <c r="O151" s="156"/>
      <c r="P151" s="156" t="s">
        <v>2424</v>
      </c>
      <c r="Q151" s="156" t="s">
        <v>547</v>
      </c>
      <c r="R151" s="156" t="s">
        <v>3050</v>
      </c>
      <c r="S151" s="157" t="s">
        <v>3051</v>
      </c>
      <c r="T151" s="157" t="s">
        <v>2511</v>
      </c>
      <c r="U151" s="157" t="s">
        <v>655</v>
      </c>
      <c r="V151" s="157" t="s">
        <v>3051</v>
      </c>
      <c r="W151" s="157" t="s">
        <v>2511</v>
      </c>
      <c r="X151" s="156" t="b">
        <v>0</v>
      </c>
      <c r="Y151" s="156" t="b">
        <v>0</v>
      </c>
      <c r="Z151" s="156" t="b">
        <v>0</v>
      </c>
      <c r="AA151" s="156" t="b">
        <v>0</v>
      </c>
      <c r="AB151" s="156"/>
      <c r="AC151" s="156" t="s">
        <v>2648</v>
      </c>
      <c r="AD151" s="156" t="s">
        <v>2342</v>
      </c>
      <c r="AE151" s="156" t="s">
        <v>3052</v>
      </c>
      <c r="AF151" s="158" t="s">
        <v>3053</v>
      </c>
      <c r="AG151" s="156"/>
      <c r="AH151" s="158"/>
      <c r="AI151" s="158"/>
      <c r="AJ151" s="158"/>
      <c r="AK151" s="158"/>
      <c r="AL151" s="158"/>
      <c r="AM151" s="158"/>
      <c r="AN151" s="158"/>
      <c r="AO151" s="158"/>
      <c r="AP151" s="158"/>
      <c r="AQ151" s="158"/>
      <c r="AR151" s="158"/>
      <c r="AS151" s="158"/>
      <c r="AT151" s="158"/>
      <c r="AU151" s="158"/>
    </row>
    <row r="152" spans="3:47" s="1" customFormat="1" x14ac:dyDescent="0.25">
      <c r="C152" s="155">
        <v>148</v>
      </c>
      <c r="D152" s="156" t="s">
        <v>828</v>
      </c>
      <c r="E152" s="156" t="s">
        <v>1307</v>
      </c>
      <c r="F152" s="156" t="s">
        <v>3054</v>
      </c>
      <c r="G152" s="156" t="s">
        <v>551</v>
      </c>
      <c r="H152" s="156" t="s">
        <v>3049</v>
      </c>
      <c r="I152" s="157" t="s">
        <v>3055</v>
      </c>
      <c r="J152" s="156" t="b">
        <v>1</v>
      </c>
      <c r="K152" s="156" t="b">
        <v>0</v>
      </c>
      <c r="L152" s="156" t="b">
        <v>0</v>
      </c>
      <c r="M152" s="156" t="b">
        <v>0</v>
      </c>
      <c r="N152" s="156"/>
      <c r="O152" s="156"/>
      <c r="P152" s="156" t="s">
        <v>2424</v>
      </c>
      <c r="Q152" s="156" t="s">
        <v>547</v>
      </c>
      <c r="R152" s="156" t="s">
        <v>3056</v>
      </c>
      <c r="S152" s="157" t="s">
        <v>3051</v>
      </c>
      <c r="T152" s="157" t="s">
        <v>3057</v>
      </c>
      <c r="U152" s="157" t="s">
        <v>655</v>
      </c>
      <c r="V152" s="157" t="s">
        <v>3051</v>
      </c>
      <c r="W152" s="157" t="s">
        <v>3057</v>
      </c>
      <c r="X152" s="156" t="b">
        <v>0</v>
      </c>
      <c r="Y152" s="156" t="b">
        <v>0</v>
      </c>
      <c r="Z152" s="156" t="b">
        <v>0</v>
      </c>
      <c r="AA152" s="156" t="b">
        <v>0</v>
      </c>
      <c r="AB152" s="156"/>
      <c r="AC152" s="156" t="s">
        <v>627</v>
      </c>
      <c r="AD152" s="156" t="s">
        <v>2342</v>
      </c>
      <c r="AE152" s="156" t="s">
        <v>3058</v>
      </c>
      <c r="AF152" s="158" t="s">
        <v>3059</v>
      </c>
      <c r="AG152" s="156"/>
      <c r="AH152" s="158"/>
      <c r="AI152" s="158"/>
      <c r="AJ152" s="158"/>
      <c r="AK152" s="158"/>
      <c r="AL152" s="158"/>
      <c r="AM152" s="158"/>
      <c r="AN152" s="158"/>
      <c r="AO152" s="158"/>
      <c r="AP152" s="158"/>
      <c r="AQ152" s="158"/>
      <c r="AR152" s="158"/>
      <c r="AS152" s="158"/>
      <c r="AT152" s="158"/>
      <c r="AU152" s="158"/>
    </row>
    <row r="153" spans="3:47" s="1" customFormat="1" x14ac:dyDescent="0.25">
      <c r="C153" s="155">
        <v>149</v>
      </c>
      <c r="D153" s="156" t="s">
        <v>828</v>
      </c>
      <c r="E153" s="156" t="s">
        <v>1307</v>
      </c>
      <c r="F153" s="156" t="s">
        <v>73</v>
      </c>
      <c r="G153" s="156" t="s">
        <v>551</v>
      </c>
      <c r="H153" s="156" t="s">
        <v>3060</v>
      </c>
      <c r="I153" s="157" t="s">
        <v>3061</v>
      </c>
      <c r="J153" s="156" t="b">
        <v>1</v>
      </c>
      <c r="K153" s="156" t="b">
        <v>0</v>
      </c>
      <c r="L153" s="156" t="b">
        <v>0</v>
      </c>
      <c r="M153" s="156" t="b">
        <v>0</v>
      </c>
      <c r="N153" s="156"/>
      <c r="O153" s="156" t="s">
        <v>576</v>
      </c>
      <c r="P153" s="156" t="s">
        <v>67</v>
      </c>
      <c r="Q153" s="156" t="s">
        <v>547</v>
      </c>
      <c r="R153" s="156" t="s">
        <v>3062</v>
      </c>
      <c r="S153" s="157" t="s">
        <v>3063</v>
      </c>
      <c r="T153" s="157" t="s">
        <v>3064</v>
      </c>
      <c r="U153" s="157" t="s">
        <v>653</v>
      </c>
      <c r="V153" s="157" t="s">
        <v>3063</v>
      </c>
      <c r="W153" s="157" t="s">
        <v>3064</v>
      </c>
      <c r="X153" s="156" t="b">
        <v>0</v>
      </c>
      <c r="Y153" s="156" t="b">
        <v>0</v>
      </c>
      <c r="Z153" s="156" t="b">
        <v>0</v>
      </c>
      <c r="AA153" s="156" t="b">
        <v>0</v>
      </c>
      <c r="AB153" s="156"/>
      <c r="AC153" s="156" t="s">
        <v>1148</v>
      </c>
      <c r="AD153" s="156" t="s">
        <v>2342</v>
      </c>
      <c r="AE153" s="156" t="s">
        <v>3065</v>
      </c>
      <c r="AF153" s="158" t="s">
        <v>1798</v>
      </c>
      <c r="AG153" s="156"/>
      <c r="AH153" s="158"/>
      <c r="AI153" s="158"/>
      <c r="AJ153" s="158"/>
      <c r="AK153" s="158"/>
      <c r="AL153" s="158"/>
      <c r="AM153" s="158"/>
      <c r="AN153" s="158"/>
      <c r="AO153" s="158"/>
      <c r="AP153" s="158"/>
      <c r="AQ153" s="158"/>
      <c r="AR153" s="158"/>
      <c r="AS153" s="158"/>
      <c r="AT153" s="158"/>
      <c r="AU153" s="158"/>
    </row>
    <row r="154" spans="3:47" s="1" customFormat="1" x14ac:dyDescent="0.25">
      <c r="C154" s="155">
        <v>150</v>
      </c>
      <c r="D154" s="156" t="s">
        <v>828</v>
      </c>
      <c r="E154" s="156" t="s">
        <v>1307</v>
      </c>
      <c r="F154" s="156" t="s">
        <v>2381</v>
      </c>
      <c r="G154" s="156" t="s">
        <v>551</v>
      </c>
      <c r="H154" s="156" t="s">
        <v>3066</v>
      </c>
      <c r="I154" s="157" t="s">
        <v>3067</v>
      </c>
      <c r="J154" s="156" t="b">
        <v>1</v>
      </c>
      <c r="K154" s="156" t="b">
        <v>0</v>
      </c>
      <c r="L154" s="156" t="b">
        <v>0</v>
      </c>
      <c r="M154" s="156" t="b">
        <v>0</v>
      </c>
      <c r="N154" s="156"/>
      <c r="O154" s="156"/>
      <c r="P154" s="156" t="s">
        <v>67</v>
      </c>
      <c r="Q154" s="156" t="s">
        <v>547</v>
      </c>
      <c r="R154" s="156" t="s">
        <v>3068</v>
      </c>
      <c r="S154" s="157" t="s">
        <v>3069</v>
      </c>
      <c r="T154" s="157" t="s">
        <v>3070</v>
      </c>
      <c r="U154" s="157" t="s">
        <v>653</v>
      </c>
      <c r="V154" s="157" t="s">
        <v>3069</v>
      </c>
      <c r="W154" s="157" t="s">
        <v>3070</v>
      </c>
      <c r="X154" s="156" t="b">
        <v>0</v>
      </c>
      <c r="Y154" s="156" t="b">
        <v>0</v>
      </c>
      <c r="Z154" s="156" t="b">
        <v>0</v>
      </c>
      <c r="AA154" s="156" t="b">
        <v>0</v>
      </c>
      <c r="AB154" s="156"/>
      <c r="AC154" s="156" t="s">
        <v>2443</v>
      </c>
      <c r="AD154" s="156" t="s">
        <v>2342</v>
      </c>
      <c r="AE154" s="156" t="s">
        <v>3071</v>
      </c>
      <c r="AF154" s="158" t="s">
        <v>3072</v>
      </c>
      <c r="AG154" s="156"/>
      <c r="AH154" s="158"/>
      <c r="AI154" s="158"/>
      <c r="AJ154" s="158"/>
      <c r="AK154" s="158"/>
      <c r="AL154" s="158"/>
      <c r="AM154" s="158"/>
      <c r="AN154" s="158"/>
      <c r="AO154" s="158"/>
      <c r="AP154" s="158"/>
      <c r="AQ154" s="158"/>
      <c r="AR154" s="158"/>
      <c r="AS154" s="158"/>
      <c r="AT154" s="158"/>
      <c r="AU154" s="158"/>
    </row>
    <row r="155" spans="3:47" s="1" customFormat="1" x14ac:dyDescent="0.25">
      <c r="C155" s="155">
        <v>151</v>
      </c>
      <c r="D155" s="156" t="s">
        <v>828</v>
      </c>
      <c r="E155" s="156" t="s">
        <v>1307</v>
      </c>
      <c r="F155" s="156" t="s">
        <v>2381</v>
      </c>
      <c r="G155" s="156" t="s">
        <v>551</v>
      </c>
      <c r="H155" s="156" t="s">
        <v>3066</v>
      </c>
      <c r="I155" s="157" t="s">
        <v>875</v>
      </c>
      <c r="J155" s="156" t="b">
        <v>0</v>
      </c>
      <c r="K155" s="156" t="b">
        <v>0</v>
      </c>
      <c r="L155" s="156" t="b">
        <v>0</v>
      </c>
      <c r="M155" s="156" t="b">
        <v>0</v>
      </c>
      <c r="N155" s="156"/>
      <c r="O155" s="156"/>
      <c r="P155" s="156" t="s">
        <v>67</v>
      </c>
      <c r="Q155" s="156" t="s">
        <v>547</v>
      </c>
      <c r="R155" s="156" t="s">
        <v>3073</v>
      </c>
      <c r="S155" s="157" t="s">
        <v>3069</v>
      </c>
      <c r="T155" s="157" t="s">
        <v>3074</v>
      </c>
      <c r="U155" s="157" t="s">
        <v>653</v>
      </c>
      <c r="V155" s="157" t="s">
        <v>3069</v>
      </c>
      <c r="W155" s="157" t="s">
        <v>3074</v>
      </c>
      <c r="X155" s="156" t="b">
        <v>0</v>
      </c>
      <c r="Y155" s="156" t="b">
        <v>0</v>
      </c>
      <c r="Z155" s="156" t="b">
        <v>0</v>
      </c>
      <c r="AA155" s="156" t="b">
        <v>0</v>
      </c>
      <c r="AB155" s="156"/>
      <c r="AC155" s="156" t="s">
        <v>1004</v>
      </c>
      <c r="AD155" s="156" t="s">
        <v>2342</v>
      </c>
      <c r="AE155" s="156" t="s">
        <v>3075</v>
      </c>
      <c r="AF155" s="158" t="s">
        <v>3076</v>
      </c>
      <c r="AG155" s="156"/>
      <c r="AH155" s="158"/>
      <c r="AI155" s="158"/>
      <c r="AJ155" s="158"/>
      <c r="AK155" s="158"/>
      <c r="AL155" s="158"/>
      <c r="AM155" s="158"/>
      <c r="AN155" s="158"/>
      <c r="AO155" s="158"/>
      <c r="AP155" s="158"/>
      <c r="AQ155" s="158"/>
      <c r="AR155" s="158"/>
      <c r="AS155" s="158"/>
      <c r="AT155" s="158"/>
      <c r="AU155" s="158"/>
    </row>
    <row r="156" spans="3:47" s="1" customFormat="1" x14ac:dyDescent="0.25">
      <c r="C156" s="155">
        <v>152</v>
      </c>
      <c r="D156" s="156" t="s">
        <v>828</v>
      </c>
      <c r="E156" s="156" t="s">
        <v>1307</v>
      </c>
      <c r="F156" s="156" t="s">
        <v>2381</v>
      </c>
      <c r="G156" s="156" t="s">
        <v>551</v>
      </c>
      <c r="H156" s="156" t="s">
        <v>3077</v>
      </c>
      <c r="I156" s="157" t="s">
        <v>3078</v>
      </c>
      <c r="J156" s="156" t="b">
        <v>1</v>
      </c>
      <c r="K156" s="156" t="b">
        <v>0</v>
      </c>
      <c r="L156" s="156" t="b">
        <v>0</v>
      </c>
      <c r="M156" s="156" t="b">
        <v>0</v>
      </c>
      <c r="N156" s="156"/>
      <c r="O156" s="156"/>
      <c r="P156" s="156" t="s">
        <v>64</v>
      </c>
      <c r="Q156" s="156" t="s">
        <v>547</v>
      </c>
      <c r="R156" s="156" t="s">
        <v>3079</v>
      </c>
      <c r="S156" s="157" t="s">
        <v>3069</v>
      </c>
      <c r="T156" s="157" t="s">
        <v>3080</v>
      </c>
      <c r="U156" s="157" t="s">
        <v>653</v>
      </c>
      <c r="V156" s="157" t="s">
        <v>3069</v>
      </c>
      <c r="W156" s="157" t="s">
        <v>3080</v>
      </c>
      <c r="X156" s="156" t="b">
        <v>0</v>
      </c>
      <c r="Y156" s="156" t="b">
        <v>0</v>
      </c>
      <c r="Z156" s="156" t="b">
        <v>0</v>
      </c>
      <c r="AA156" s="156" t="b">
        <v>0</v>
      </c>
      <c r="AB156" s="156"/>
      <c r="AC156" s="156" t="s">
        <v>876</v>
      </c>
      <c r="AD156" s="156" t="s">
        <v>2342</v>
      </c>
      <c r="AE156" s="156" t="s">
        <v>3081</v>
      </c>
      <c r="AF156" s="158" t="s">
        <v>3082</v>
      </c>
      <c r="AG156" s="156"/>
      <c r="AH156" s="158"/>
      <c r="AI156" s="158"/>
      <c r="AJ156" s="158"/>
      <c r="AK156" s="158"/>
      <c r="AL156" s="158"/>
      <c r="AM156" s="158"/>
      <c r="AN156" s="158"/>
      <c r="AO156" s="158"/>
      <c r="AP156" s="158"/>
      <c r="AQ156" s="158"/>
      <c r="AR156" s="158"/>
      <c r="AS156" s="158"/>
      <c r="AT156" s="158"/>
      <c r="AU156" s="158"/>
    </row>
    <row r="157" spans="3:47" s="1" customFormat="1" x14ac:dyDescent="0.25">
      <c r="C157" s="155">
        <v>153</v>
      </c>
      <c r="D157" s="156" t="s">
        <v>828</v>
      </c>
      <c r="E157" s="156" t="s">
        <v>1307</v>
      </c>
      <c r="F157" s="156" t="s">
        <v>2381</v>
      </c>
      <c r="G157" s="156" t="s">
        <v>551</v>
      </c>
      <c r="H157" s="156" t="s">
        <v>3083</v>
      </c>
      <c r="I157" s="157" t="s">
        <v>560</v>
      </c>
      <c r="J157" s="156" t="b">
        <v>1</v>
      </c>
      <c r="K157" s="156" t="b">
        <v>0</v>
      </c>
      <c r="L157" s="156" t="b">
        <v>0</v>
      </c>
      <c r="M157" s="156" t="b">
        <v>0</v>
      </c>
      <c r="N157" s="156"/>
      <c r="O157" s="156"/>
      <c r="P157" s="156" t="s">
        <v>67</v>
      </c>
      <c r="Q157" s="156" t="s">
        <v>547</v>
      </c>
      <c r="R157" s="156" t="s">
        <v>3084</v>
      </c>
      <c r="S157" s="157" t="s">
        <v>3085</v>
      </c>
      <c r="T157" s="157" t="s">
        <v>3086</v>
      </c>
      <c r="U157" s="157" t="s">
        <v>653</v>
      </c>
      <c r="V157" s="157" t="s">
        <v>3085</v>
      </c>
      <c r="W157" s="157" t="s">
        <v>3086</v>
      </c>
      <c r="X157" s="156" t="b">
        <v>0</v>
      </c>
      <c r="Y157" s="156" t="b">
        <v>0</v>
      </c>
      <c r="Z157" s="156" t="b">
        <v>0</v>
      </c>
      <c r="AA157" s="156" t="b">
        <v>0</v>
      </c>
      <c r="AB157" s="156"/>
      <c r="AC157" s="156" t="s">
        <v>2004</v>
      </c>
      <c r="AD157" s="156" t="s">
        <v>2314</v>
      </c>
      <c r="AE157" s="156" t="s">
        <v>3087</v>
      </c>
      <c r="AF157" s="158" t="s">
        <v>3088</v>
      </c>
      <c r="AG157" s="156"/>
      <c r="AH157" s="158"/>
      <c r="AI157" s="158"/>
      <c r="AJ157" s="158"/>
      <c r="AK157" s="158"/>
      <c r="AL157" s="158"/>
      <c r="AM157" s="158"/>
      <c r="AN157" s="158"/>
      <c r="AO157" s="158"/>
      <c r="AP157" s="158"/>
      <c r="AQ157" s="158"/>
      <c r="AR157" s="158"/>
      <c r="AS157" s="158"/>
      <c r="AT157" s="158"/>
      <c r="AU157" s="158"/>
    </row>
    <row r="158" spans="3:47" s="1" customFormat="1" x14ac:dyDescent="0.25">
      <c r="C158" s="155">
        <v>154</v>
      </c>
      <c r="D158" s="156" t="s">
        <v>828</v>
      </c>
      <c r="E158" s="156" t="s">
        <v>1307</v>
      </c>
      <c r="F158" s="156" t="s">
        <v>73</v>
      </c>
      <c r="G158" s="156" t="s">
        <v>551</v>
      </c>
      <c r="H158" s="156" t="s">
        <v>3089</v>
      </c>
      <c r="I158" s="157" t="s">
        <v>3090</v>
      </c>
      <c r="J158" s="156" t="b">
        <v>1</v>
      </c>
      <c r="K158" s="156" t="b">
        <v>0</v>
      </c>
      <c r="L158" s="156" t="b">
        <v>0</v>
      </c>
      <c r="M158" s="156" t="b">
        <v>0</v>
      </c>
      <c r="N158" s="156"/>
      <c r="O158" s="156" t="s">
        <v>576</v>
      </c>
      <c r="P158" s="156" t="s">
        <v>67</v>
      </c>
      <c r="Q158" s="156" t="s">
        <v>547</v>
      </c>
      <c r="R158" s="156" t="s">
        <v>3091</v>
      </c>
      <c r="S158" s="157" t="s">
        <v>3092</v>
      </c>
      <c r="T158" s="157" t="s">
        <v>3093</v>
      </c>
      <c r="U158" s="157" t="s">
        <v>653</v>
      </c>
      <c r="V158" s="157" t="s">
        <v>3092</v>
      </c>
      <c r="W158" s="157" t="s">
        <v>3093</v>
      </c>
      <c r="X158" s="156" t="b">
        <v>0</v>
      </c>
      <c r="Y158" s="156" t="b">
        <v>0</v>
      </c>
      <c r="Z158" s="156" t="b">
        <v>0</v>
      </c>
      <c r="AA158" s="156" t="b">
        <v>0</v>
      </c>
      <c r="AB158" s="156"/>
      <c r="AC158" s="156" t="s">
        <v>2919</v>
      </c>
      <c r="AD158" s="156" t="s">
        <v>2314</v>
      </c>
      <c r="AE158" s="156" t="s">
        <v>3094</v>
      </c>
      <c r="AF158" s="158" t="s">
        <v>1798</v>
      </c>
      <c r="AG158" s="156"/>
      <c r="AH158" s="158"/>
      <c r="AI158" s="158"/>
      <c r="AJ158" s="158"/>
      <c r="AK158" s="158"/>
      <c r="AL158" s="158"/>
      <c r="AM158" s="158"/>
      <c r="AN158" s="158"/>
      <c r="AO158" s="158"/>
      <c r="AP158" s="158"/>
      <c r="AQ158" s="158"/>
      <c r="AR158" s="158"/>
      <c r="AS158" s="158"/>
      <c r="AT158" s="158"/>
      <c r="AU158" s="158"/>
    </row>
    <row r="159" spans="3:47" s="1" customFormat="1" x14ac:dyDescent="0.25">
      <c r="C159" s="155">
        <v>155</v>
      </c>
      <c r="D159" s="156" t="s">
        <v>828</v>
      </c>
      <c r="E159" s="156" t="s">
        <v>1307</v>
      </c>
      <c r="F159" s="156" t="s">
        <v>73</v>
      </c>
      <c r="G159" s="156" t="s">
        <v>551</v>
      </c>
      <c r="H159" s="156" t="s">
        <v>3095</v>
      </c>
      <c r="I159" s="157" t="s">
        <v>3096</v>
      </c>
      <c r="J159" s="156" t="b">
        <v>1</v>
      </c>
      <c r="K159" s="156" t="b">
        <v>0</v>
      </c>
      <c r="L159" s="156" t="b">
        <v>0</v>
      </c>
      <c r="M159" s="156" t="b">
        <v>0</v>
      </c>
      <c r="N159" s="156"/>
      <c r="O159" s="156" t="s">
        <v>479</v>
      </c>
      <c r="P159" s="156"/>
      <c r="Q159" s="156"/>
      <c r="R159" s="156" t="s">
        <v>3097</v>
      </c>
      <c r="S159" s="157" t="s">
        <v>3098</v>
      </c>
      <c r="T159" s="157" t="s">
        <v>3099</v>
      </c>
      <c r="U159" s="157" t="s">
        <v>700</v>
      </c>
      <c r="V159" s="157" t="s">
        <v>3098</v>
      </c>
      <c r="W159" s="157" t="s">
        <v>3099</v>
      </c>
      <c r="X159" s="156" t="b">
        <v>0</v>
      </c>
      <c r="Y159" s="156" t="b">
        <v>0</v>
      </c>
      <c r="Z159" s="156" t="b">
        <v>0</v>
      </c>
      <c r="AA159" s="156" t="b">
        <v>0</v>
      </c>
      <c r="AB159" s="156"/>
      <c r="AC159" s="156" t="s">
        <v>3100</v>
      </c>
      <c r="AD159" s="156" t="s">
        <v>2342</v>
      </c>
      <c r="AE159" s="156" t="s">
        <v>3101</v>
      </c>
      <c r="AF159" s="158" t="s">
        <v>1672</v>
      </c>
      <c r="AG159" s="156"/>
      <c r="AH159" s="158"/>
      <c r="AI159" s="158"/>
      <c r="AJ159" s="158"/>
      <c r="AK159" s="158"/>
      <c r="AL159" s="158"/>
      <c r="AM159" s="158"/>
      <c r="AN159" s="158"/>
      <c r="AO159" s="158"/>
      <c r="AP159" s="158"/>
      <c r="AQ159" s="158"/>
      <c r="AR159" s="158"/>
      <c r="AS159" s="158"/>
      <c r="AT159" s="158"/>
      <c r="AU159" s="158"/>
    </row>
    <row r="160" spans="3:47" s="1" customFormat="1" x14ac:dyDescent="0.25">
      <c r="C160" s="155">
        <v>156</v>
      </c>
      <c r="D160" s="156" t="s">
        <v>828</v>
      </c>
      <c r="E160" s="156" t="s">
        <v>1307</v>
      </c>
      <c r="F160" s="156" t="s">
        <v>3102</v>
      </c>
      <c r="G160" s="156" t="s">
        <v>551</v>
      </c>
      <c r="H160" s="156" t="s">
        <v>3103</v>
      </c>
      <c r="I160" s="157" t="s">
        <v>3104</v>
      </c>
      <c r="J160" s="156" t="b">
        <v>1</v>
      </c>
      <c r="K160" s="156" t="b">
        <v>0</v>
      </c>
      <c r="L160" s="156" t="b">
        <v>0</v>
      </c>
      <c r="M160" s="156" t="b">
        <v>0</v>
      </c>
      <c r="N160" s="156"/>
      <c r="O160" s="156" t="s">
        <v>3105</v>
      </c>
      <c r="P160" s="156"/>
      <c r="Q160" s="156" t="s">
        <v>547</v>
      </c>
      <c r="R160" s="156" t="s">
        <v>1810</v>
      </c>
      <c r="S160" s="157" t="s">
        <v>3106</v>
      </c>
      <c r="T160" s="157" t="s">
        <v>1682</v>
      </c>
      <c r="U160" s="157" t="s">
        <v>700</v>
      </c>
      <c r="V160" s="157" t="s">
        <v>3106</v>
      </c>
      <c r="W160" s="157" t="s">
        <v>1682</v>
      </c>
      <c r="X160" s="156" t="b">
        <v>0</v>
      </c>
      <c r="Y160" s="156" t="b">
        <v>0</v>
      </c>
      <c r="Z160" s="156" t="b">
        <v>0</v>
      </c>
      <c r="AA160" s="156" t="b">
        <v>0</v>
      </c>
      <c r="AB160" s="156"/>
      <c r="AC160" s="156" t="s">
        <v>1445</v>
      </c>
      <c r="AD160" s="156" t="s">
        <v>2342</v>
      </c>
      <c r="AE160" s="156" t="s">
        <v>3107</v>
      </c>
      <c r="AF160" s="158" t="s">
        <v>3108</v>
      </c>
      <c r="AG160" s="156"/>
      <c r="AH160" s="158"/>
      <c r="AI160" s="158"/>
      <c r="AJ160" s="158"/>
      <c r="AK160" s="158"/>
      <c r="AL160" s="158"/>
      <c r="AM160" s="158"/>
      <c r="AN160" s="158"/>
      <c r="AO160" s="158"/>
      <c r="AP160" s="158"/>
      <c r="AQ160" s="158"/>
      <c r="AR160" s="158"/>
      <c r="AS160" s="158"/>
      <c r="AT160" s="158"/>
      <c r="AU160" s="158"/>
    </row>
    <row r="161" spans="3:47" s="1" customFormat="1" x14ac:dyDescent="0.25">
      <c r="C161" s="155">
        <v>157</v>
      </c>
      <c r="D161" s="156" t="s">
        <v>828</v>
      </c>
      <c r="E161" s="156" t="s">
        <v>1307</v>
      </c>
      <c r="F161" s="156" t="s">
        <v>2397</v>
      </c>
      <c r="G161" s="156" t="s">
        <v>551</v>
      </c>
      <c r="H161" s="156" t="s">
        <v>3109</v>
      </c>
      <c r="I161" s="157" t="s">
        <v>3110</v>
      </c>
      <c r="J161" s="156" t="b">
        <v>1</v>
      </c>
      <c r="K161" s="156" t="b">
        <v>0</v>
      </c>
      <c r="L161" s="156" t="b">
        <v>0</v>
      </c>
      <c r="M161" s="156" t="b">
        <v>0</v>
      </c>
      <c r="N161" s="156"/>
      <c r="O161" s="156" t="s">
        <v>1827</v>
      </c>
      <c r="P161" s="156" t="s">
        <v>67</v>
      </c>
      <c r="Q161" s="156" t="s">
        <v>547</v>
      </c>
      <c r="R161" s="156" t="s">
        <v>3111</v>
      </c>
      <c r="S161" s="157" t="s">
        <v>3112</v>
      </c>
      <c r="T161" s="157" t="s">
        <v>3113</v>
      </c>
      <c r="U161" s="157" t="s">
        <v>653</v>
      </c>
      <c r="V161" s="157" t="s">
        <v>3112</v>
      </c>
      <c r="W161" s="157" t="s">
        <v>3113</v>
      </c>
      <c r="X161" s="156" t="b">
        <v>0</v>
      </c>
      <c r="Y161" s="156" t="b">
        <v>0</v>
      </c>
      <c r="Z161" s="156" t="b">
        <v>0</v>
      </c>
      <c r="AA161" s="156" t="b">
        <v>0</v>
      </c>
      <c r="AB161" s="156"/>
      <c r="AC161" s="156" t="s">
        <v>3114</v>
      </c>
      <c r="AD161" s="156" t="s">
        <v>2342</v>
      </c>
      <c r="AE161" s="156" t="s">
        <v>231</v>
      </c>
      <c r="AF161" s="158" t="s">
        <v>284</v>
      </c>
      <c r="AG161" s="156"/>
      <c r="AH161" s="158"/>
      <c r="AI161" s="158"/>
      <c r="AJ161" s="158"/>
      <c r="AK161" s="158"/>
      <c r="AL161" s="158"/>
      <c r="AM161" s="158"/>
      <c r="AN161" s="158"/>
      <c r="AO161" s="158"/>
      <c r="AP161" s="158"/>
      <c r="AQ161" s="158"/>
      <c r="AR161" s="158"/>
      <c r="AS161" s="158"/>
      <c r="AT161" s="158"/>
      <c r="AU161" s="158"/>
    </row>
    <row r="162" spans="3:47" s="1" customFormat="1" x14ac:dyDescent="0.25">
      <c r="C162" s="155">
        <v>158</v>
      </c>
      <c r="D162" s="156" t="s">
        <v>828</v>
      </c>
      <c r="E162" s="156" t="s">
        <v>1307</v>
      </c>
      <c r="F162" s="156" t="s">
        <v>2363</v>
      </c>
      <c r="G162" s="156" t="s">
        <v>551</v>
      </c>
      <c r="H162" s="156" t="s">
        <v>3115</v>
      </c>
      <c r="I162" s="157" t="s">
        <v>3116</v>
      </c>
      <c r="J162" s="156" t="b">
        <v>1</v>
      </c>
      <c r="K162" s="156" t="b">
        <v>0</v>
      </c>
      <c r="L162" s="156" t="b">
        <v>0</v>
      </c>
      <c r="M162" s="156" t="b">
        <v>0</v>
      </c>
      <c r="N162" s="156"/>
      <c r="O162" s="156"/>
      <c r="P162" s="156" t="s">
        <v>67</v>
      </c>
      <c r="Q162" s="156" t="s">
        <v>547</v>
      </c>
      <c r="R162" s="156" t="s">
        <v>3111</v>
      </c>
      <c r="S162" s="157" t="s">
        <v>3112</v>
      </c>
      <c r="T162" s="157" t="s">
        <v>3117</v>
      </c>
      <c r="U162" s="157" t="s">
        <v>653</v>
      </c>
      <c r="V162" s="157" t="s">
        <v>3112</v>
      </c>
      <c r="W162" s="157" t="s">
        <v>3117</v>
      </c>
      <c r="X162" s="156" t="b">
        <v>0</v>
      </c>
      <c r="Y162" s="156" t="b">
        <v>0</v>
      </c>
      <c r="Z162" s="156" t="b">
        <v>0</v>
      </c>
      <c r="AA162" s="156" t="b">
        <v>0</v>
      </c>
      <c r="AB162" s="156"/>
      <c r="AC162" s="156" t="s">
        <v>3118</v>
      </c>
      <c r="AD162" s="156" t="s">
        <v>2314</v>
      </c>
      <c r="AE162" s="156" t="s">
        <v>651</v>
      </c>
      <c r="AF162" s="158" t="s">
        <v>651</v>
      </c>
      <c r="AG162" s="156"/>
      <c r="AH162" s="158"/>
      <c r="AI162" s="158"/>
      <c r="AJ162" s="158"/>
      <c r="AK162" s="158"/>
      <c r="AL162" s="158"/>
      <c r="AM162" s="158"/>
      <c r="AN162" s="158"/>
      <c r="AO162" s="158"/>
      <c r="AP162" s="158"/>
      <c r="AQ162" s="158"/>
      <c r="AR162" s="158"/>
      <c r="AS162" s="158"/>
      <c r="AT162" s="158"/>
      <c r="AU162" s="158"/>
    </row>
    <row r="163" spans="3:47" s="1" customFormat="1" x14ac:dyDescent="0.25">
      <c r="C163" s="155">
        <v>159</v>
      </c>
      <c r="D163" s="156" t="s">
        <v>828</v>
      </c>
      <c r="E163" s="156" t="s">
        <v>1307</v>
      </c>
      <c r="F163" s="156" t="s">
        <v>2381</v>
      </c>
      <c r="G163" s="156" t="s">
        <v>551</v>
      </c>
      <c r="H163" s="156" t="s">
        <v>3119</v>
      </c>
      <c r="I163" s="157" t="s">
        <v>3120</v>
      </c>
      <c r="J163" s="156" t="b">
        <v>1</v>
      </c>
      <c r="K163" s="156" t="b">
        <v>0</v>
      </c>
      <c r="L163" s="156" t="b">
        <v>0</v>
      </c>
      <c r="M163" s="156" t="b">
        <v>0</v>
      </c>
      <c r="N163" s="156"/>
      <c r="O163" s="156"/>
      <c r="P163" s="156" t="s">
        <v>67</v>
      </c>
      <c r="Q163" s="156" t="s">
        <v>547</v>
      </c>
      <c r="R163" s="156"/>
      <c r="S163" s="157" t="s">
        <v>3121</v>
      </c>
      <c r="T163" s="157" t="s">
        <v>400</v>
      </c>
      <c r="U163" s="157" t="s">
        <v>651</v>
      </c>
      <c r="V163" s="157" t="s">
        <v>3121</v>
      </c>
      <c r="W163" s="157" t="s">
        <v>400</v>
      </c>
      <c r="X163" s="156" t="b">
        <v>0</v>
      </c>
      <c r="Y163" s="156" t="b">
        <v>0</v>
      </c>
      <c r="Z163" s="156" t="b">
        <v>0</v>
      </c>
      <c r="AA163" s="156" t="b">
        <v>0</v>
      </c>
      <c r="AB163" s="156"/>
      <c r="AC163" s="156" t="s">
        <v>2004</v>
      </c>
      <c r="AD163" s="156" t="s">
        <v>3122</v>
      </c>
      <c r="AE163" s="156" t="s">
        <v>3123</v>
      </c>
      <c r="AF163" s="158" t="s">
        <v>3124</v>
      </c>
      <c r="AG163" s="156"/>
      <c r="AH163" s="158"/>
      <c r="AI163" s="158"/>
      <c r="AJ163" s="158"/>
      <c r="AK163" s="158"/>
      <c r="AL163" s="158"/>
      <c r="AM163" s="158"/>
      <c r="AN163" s="158"/>
      <c r="AO163" s="158"/>
      <c r="AP163" s="158"/>
      <c r="AQ163" s="158"/>
      <c r="AR163" s="158"/>
      <c r="AS163" s="158"/>
      <c r="AT163" s="158"/>
      <c r="AU163" s="158"/>
    </row>
    <row r="164" spans="3:47" s="1" customFormat="1" x14ac:dyDescent="0.25">
      <c r="C164" s="155">
        <v>160</v>
      </c>
      <c r="D164" s="156" t="s">
        <v>828</v>
      </c>
      <c r="E164" s="156" t="s">
        <v>1307</v>
      </c>
      <c r="F164" s="156" t="s">
        <v>2363</v>
      </c>
      <c r="G164" s="156" t="s">
        <v>551</v>
      </c>
      <c r="H164" s="156" t="s">
        <v>3033</v>
      </c>
      <c r="I164" s="157" t="s">
        <v>3125</v>
      </c>
      <c r="J164" s="156" t="b">
        <v>1</v>
      </c>
      <c r="K164" s="156" t="b">
        <v>0</v>
      </c>
      <c r="L164" s="156" t="b">
        <v>0</v>
      </c>
      <c r="M164" s="156" t="b">
        <v>0</v>
      </c>
      <c r="N164" s="156"/>
      <c r="O164" s="156" t="s">
        <v>920</v>
      </c>
      <c r="P164" s="156" t="s">
        <v>67</v>
      </c>
      <c r="Q164" s="156"/>
      <c r="R164" s="156" t="s">
        <v>262</v>
      </c>
      <c r="S164" s="157" t="s">
        <v>3126</v>
      </c>
      <c r="T164" s="157" t="s">
        <v>3127</v>
      </c>
      <c r="U164" s="157" t="s">
        <v>552</v>
      </c>
      <c r="V164" s="157" t="s">
        <v>3126</v>
      </c>
      <c r="W164" s="157" t="s">
        <v>3127</v>
      </c>
      <c r="X164" s="156" t="b">
        <v>0</v>
      </c>
      <c r="Y164" s="156" t="b">
        <v>0</v>
      </c>
      <c r="Z164" s="156" t="b">
        <v>0</v>
      </c>
      <c r="AA164" s="156" t="b">
        <v>0</v>
      </c>
      <c r="AB164" s="156"/>
      <c r="AC164" s="156" t="s">
        <v>2453</v>
      </c>
      <c r="AD164" s="156" t="s">
        <v>3128</v>
      </c>
      <c r="AE164" s="156" t="s">
        <v>3129</v>
      </c>
      <c r="AF164" s="158" t="s">
        <v>3130</v>
      </c>
      <c r="AG164" s="156"/>
      <c r="AH164" s="158"/>
      <c r="AI164" s="158"/>
      <c r="AJ164" s="158"/>
      <c r="AK164" s="158"/>
      <c r="AL164" s="158"/>
      <c r="AM164" s="158"/>
      <c r="AN164" s="158"/>
      <c r="AO164" s="158"/>
      <c r="AP164" s="158"/>
      <c r="AQ164" s="158"/>
      <c r="AR164" s="158"/>
      <c r="AS164" s="158"/>
      <c r="AT164" s="158"/>
      <c r="AU164" s="158"/>
    </row>
    <row r="165" spans="3:47" s="1" customFormat="1" x14ac:dyDescent="0.25">
      <c r="C165" s="155">
        <v>161</v>
      </c>
      <c r="D165" s="156" t="s">
        <v>828</v>
      </c>
      <c r="E165" s="156" t="s">
        <v>1307</v>
      </c>
      <c r="F165" s="156"/>
      <c r="G165" s="156" t="s">
        <v>551</v>
      </c>
      <c r="H165" s="156" t="s">
        <v>3131</v>
      </c>
      <c r="I165" s="157" t="s">
        <v>3132</v>
      </c>
      <c r="J165" s="156" t="b">
        <v>0</v>
      </c>
      <c r="K165" s="156" t="b">
        <v>0</v>
      </c>
      <c r="L165" s="156" t="b">
        <v>1</v>
      </c>
      <c r="M165" s="156" t="b">
        <v>0</v>
      </c>
      <c r="N165" s="156"/>
      <c r="O165" s="156"/>
      <c r="P165" s="156"/>
      <c r="Q165" s="156"/>
      <c r="R165" s="156" t="s">
        <v>3133</v>
      </c>
      <c r="S165" s="157" t="s">
        <v>3134</v>
      </c>
      <c r="T165" s="157" t="s">
        <v>3135</v>
      </c>
      <c r="U165" s="157" t="s">
        <v>700</v>
      </c>
      <c r="V165" s="157" t="s">
        <v>3134</v>
      </c>
      <c r="W165" s="157" t="s">
        <v>3135</v>
      </c>
      <c r="X165" s="156" t="b">
        <v>0</v>
      </c>
      <c r="Y165" s="156" t="b">
        <v>0</v>
      </c>
      <c r="Z165" s="156" t="b">
        <v>0</v>
      </c>
      <c r="AA165" s="156" t="b">
        <v>0</v>
      </c>
      <c r="AB165" s="156"/>
      <c r="AC165" s="156" t="s">
        <v>3136</v>
      </c>
      <c r="AD165" s="156" t="s">
        <v>3136</v>
      </c>
      <c r="AE165" s="156" t="s">
        <v>3137</v>
      </c>
      <c r="AF165" s="158" t="s">
        <v>3138</v>
      </c>
      <c r="AG165" s="156"/>
      <c r="AH165" s="158"/>
      <c r="AI165" s="158"/>
      <c r="AJ165" s="158"/>
      <c r="AK165" s="158"/>
      <c r="AL165" s="158"/>
      <c r="AM165" s="158"/>
      <c r="AN165" s="158"/>
      <c r="AO165" s="158"/>
      <c r="AP165" s="158"/>
      <c r="AQ165" s="158"/>
      <c r="AR165" s="158"/>
      <c r="AS165" s="158"/>
      <c r="AT165" s="158"/>
      <c r="AU165" s="158"/>
    </row>
    <row r="166" spans="3:47" s="1" customFormat="1" x14ac:dyDescent="0.25">
      <c r="C166" s="155">
        <v>162</v>
      </c>
      <c r="D166" s="156" t="s">
        <v>828</v>
      </c>
      <c r="E166" s="156" t="s">
        <v>1307</v>
      </c>
      <c r="F166" s="156" t="s">
        <v>2355</v>
      </c>
      <c r="G166" s="156" t="s">
        <v>551</v>
      </c>
      <c r="H166" s="156" t="s">
        <v>3139</v>
      </c>
      <c r="I166" s="157" t="s">
        <v>3140</v>
      </c>
      <c r="J166" s="156" t="b">
        <v>1</v>
      </c>
      <c r="K166" s="156" t="b">
        <v>0</v>
      </c>
      <c r="L166" s="156" t="b">
        <v>0</v>
      </c>
      <c r="M166" s="156" t="b">
        <v>0</v>
      </c>
      <c r="N166" s="156"/>
      <c r="O166" s="156" t="s">
        <v>3141</v>
      </c>
      <c r="P166" s="156"/>
      <c r="Q166" s="156"/>
      <c r="R166" s="156" t="s">
        <v>3142</v>
      </c>
      <c r="S166" s="157" t="s">
        <v>3143</v>
      </c>
      <c r="T166" s="157" t="s">
        <v>3144</v>
      </c>
      <c r="U166" s="157" t="s">
        <v>700</v>
      </c>
      <c r="V166" s="157" t="s">
        <v>3143</v>
      </c>
      <c r="W166" s="157" t="s">
        <v>3144</v>
      </c>
      <c r="X166" s="156" t="b">
        <v>0</v>
      </c>
      <c r="Y166" s="156" t="b">
        <v>0</v>
      </c>
      <c r="Z166" s="156" t="b">
        <v>0</v>
      </c>
      <c r="AA166" s="156" t="b">
        <v>0</v>
      </c>
      <c r="AB166" s="156"/>
      <c r="AC166" s="156" t="s">
        <v>3145</v>
      </c>
      <c r="AD166" s="156" t="s">
        <v>2344</v>
      </c>
      <c r="AE166" s="156" t="s">
        <v>3146</v>
      </c>
      <c r="AF166" s="158" t="s">
        <v>3147</v>
      </c>
      <c r="AG166" s="156"/>
      <c r="AH166" s="158"/>
      <c r="AI166" s="158"/>
      <c r="AJ166" s="158"/>
      <c r="AK166" s="158"/>
      <c r="AL166" s="158"/>
      <c r="AM166" s="158"/>
      <c r="AN166" s="158"/>
      <c r="AO166" s="158"/>
      <c r="AP166" s="158"/>
      <c r="AQ166" s="158"/>
      <c r="AR166" s="158"/>
      <c r="AS166" s="158"/>
      <c r="AT166" s="158"/>
      <c r="AU166" s="158"/>
    </row>
    <row r="167" spans="3:47" s="1" customFormat="1" x14ac:dyDescent="0.25">
      <c r="C167" s="155">
        <v>163</v>
      </c>
      <c r="D167" s="156" t="s">
        <v>828</v>
      </c>
      <c r="E167" s="156" t="s">
        <v>1307</v>
      </c>
      <c r="F167" s="156" t="s">
        <v>2355</v>
      </c>
      <c r="G167" s="156" t="s">
        <v>551</v>
      </c>
      <c r="H167" s="156" t="s">
        <v>3148</v>
      </c>
      <c r="I167" s="157" t="s">
        <v>1635</v>
      </c>
      <c r="J167" s="156" t="b">
        <v>1</v>
      </c>
      <c r="K167" s="156" t="b">
        <v>0</v>
      </c>
      <c r="L167" s="156" t="b">
        <v>0</v>
      </c>
      <c r="M167" s="156" t="b">
        <v>0</v>
      </c>
      <c r="N167" s="156"/>
      <c r="O167" s="156" t="s">
        <v>3149</v>
      </c>
      <c r="P167" s="156"/>
      <c r="Q167" s="156"/>
      <c r="R167" s="156" t="s">
        <v>3150</v>
      </c>
      <c r="S167" s="157" t="s">
        <v>3151</v>
      </c>
      <c r="T167" s="157" t="s">
        <v>3152</v>
      </c>
      <c r="U167" s="157" t="s">
        <v>700</v>
      </c>
      <c r="V167" s="157" t="s">
        <v>3151</v>
      </c>
      <c r="W167" s="157" t="s">
        <v>3152</v>
      </c>
      <c r="X167" s="156" t="b">
        <v>0</v>
      </c>
      <c r="Y167" s="156" t="b">
        <v>0</v>
      </c>
      <c r="Z167" s="156" t="b">
        <v>0</v>
      </c>
      <c r="AA167" s="156" t="b">
        <v>0</v>
      </c>
      <c r="AB167" s="156"/>
      <c r="AC167" s="156" t="s">
        <v>651</v>
      </c>
      <c r="AD167" s="156" t="s">
        <v>2344</v>
      </c>
      <c r="AE167" s="156" t="s">
        <v>3153</v>
      </c>
      <c r="AF167" s="158" t="s">
        <v>3154</v>
      </c>
      <c r="AG167" s="156"/>
      <c r="AH167" s="158"/>
      <c r="AI167" s="158"/>
      <c r="AJ167" s="158"/>
      <c r="AK167" s="158"/>
      <c r="AL167" s="158"/>
      <c r="AM167" s="158"/>
      <c r="AN167" s="158"/>
      <c r="AO167" s="158"/>
      <c r="AP167" s="158"/>
      <c r="AQ167" s="158"/>
      <c r="AR167" s="158"/>
      <c r="AS167" s="158"/>
      <c r="AT167" s="158"/>
      <c r="AU167" s="158"/>
    </row>
    <row r="168" spans="3:47" s="1" customFormat="1" x14ac:dyDescent="0.25">
      <c r="C168" s="155">
        <v>164</v>
      </c>
      <c r="D168" s="156" t="s">
        <v>828</v>
      </c>
      <c r="E168" s="156" t="s">
        <v>1307</v>
      </c>
      <c r="F168" s="156" t="s">
        <v>2377</v>
      </c>
      <c r="G168" s="156" t="s">
        <v>551</v>
      </c>
      <c r="H168" s="156" t="s">
        <v>807</v>
      </c>
      <c r="I168" s="157" t="s">
        <v>1955</v>
      </c>
      <c r="J168" s="156" t="b">
        <v>1</v>
      </c>
      <c r="K168" s="156" t="b">
        <v>0</v>
      </c>
      <c r="L168" s="156" t="b">
        <v>0</v>
      </c>
      <c r="M168" s="156" t="b">
        <v>0</v>
      </c>
      <c r="N168" s="156"/>
      <c r="O168" s="156" t="s">
        <v>2162</v>
      </c>
      <c r="P168" s="156" t="s">
        <v>67</v>
      </c>
      <c r="Q168" s="156" t="s">
        <v>3155</v>
      </c>
      <c r="R168" s="156"/>
      <c r="S168" s="157" t="s">
        <v>3156</v>
      </c>
      <c r="T168" s="157" t="s">
        <v>3157</v>
      </c>
      <c r="U168" s="157" t="s">
        <v>651</v>
      </c>
      <c r="V168" s="157" t="s">
        <v>3156</v>
      </c>
      <c r="W168" s="157" t="s">
        <v>3157</v>
      </c>
      <c r="X168" s="156" t="b">
        <v>0</v>
      </c>
      <c r="Y168" s="156" t="b">
        <v>0</v>
      </c>
      <c r="Z168" s="156" t="b">
        <v>0</v>
      </c>
      <c r="AA168" s="156" t="b">
        <v>0</v>
      </c>
      <c r="AB168" s="156"/>
      <c r="AC168" s="156" t="s">
        <v>3158</v>
      </c>
      <c r="AD168" s="156" t="s">
        <v>2342</v>
      </c>
      <c r="AE168" s="156" t="s">
        <v>3159</v>
      </c>
      <c r="AF168" s="158" t="s">
        <v>2422</v>
      </c>
      <c r="AG168" s="156"/>
      <c r="AH168" s="158"/>
      <c r="AI168" s="158"/>
      <c r="AJ168" s="158"/>
      <c r="AK168" s="158"/>
      <c r="AL168" s="158"/>
      <c r="AM168" s="158"/>
      <c r="AN168" s="158"/>
      <c r="AO168" s="158"/>
      <c r="AP168" s="158"/>
      <c r="AQ168" s="158"/>
      <c r="AR168" s="158"/>
      <c r="AS168" s="158"/>
      <c r="AT168" s="158"/>
      <c r="AU168" s="158"/>
    </row>
    <row r="169" spans="3:47" s="1" customFormat="1" x14ac:dyDescent="0.25">
      <c r="C169" s="155">
        <v>165</v>
      </c>
      <c r="D169" s="156" t="s">
        <v>828</v>
      </c>
      <c r="E169" s="156" t="s">
        <v>1307</v>
      </c>
      <c r="F169" s="156" t="s">
        <v>126</v>
      </c>
      <c r="G169" s="156" t="s">
        <v>551</v>
      </c>
      <c r="H169" s="156" t="s">
        <v>807</v>
      </c>
      <c r="I169" s="157" t="s">
        <v>2164</v>
      </c>
      <c r="J169" s="156" t="b">
        <v>1</v>
      </c>
      <c r="K169" s="156" t="b">
        <v>0</v>
      </c>
      <c r="L169" s="156" t="b">
        <v>0</v>
      </c>
      <c r="M169" s="156" t="b">
        <v>0</v>
      </c>
      <c r="N169" s="156"/>
      <c r="O169" s="156" t="s">
        <v>920</v>
      </c>
      <c r="P169" s="156" t="s">
        <v>67</v>
      </c>
      <c r="Q169" s="156" t="s">
        <v>3155</v>
      </c>
      <c r="R169" s="156" t="s">
        <v>3160</v>
      </c>
      <c r="S169" s="157" t="s">
        <v>3156</v>
      </c>
      <c r="T169" s="157" t="s">
        <v>3161</v>
      </c>
      <c r="U169" s="157" t="s">
        <v>552</v>
      </c>
      <c r="V169" s="157" t="s">
        <v>3156</v>
      </c>
      <c r="W169" s="157" t="s">
        <v>3161</v>
      </c>
      <c r="X169" s="156" t="b">
        <v>0</v>
      </c>
      <c r="Y169" s="156" t="b">
        <v>0</v>
      </c>
      <c r="Z169" s="156" t="b">
        <v>0</v>
      </c>
      <c r="AA169" s="156" t="b">
        <v>0</v>
      </c>
      <c r="AB169" s="156"/>
      <c r="AC169" s="156" t="s">
        <v>627</v>
      </c>
      <c r="AD169" s="156" t="s">
        <v>2342</v>
      </c>
      <c r="AE169" s="156" t="s">
        <v>3159</v>
      </c>
      <c r="AF169" s="158" t="s">
        <v>3162</v>
      </c>
      <c r="AG169" s="156"/>
      <c r="AH169" s="158"/>
      <c r="AI169" s="158"/>
      <c r="AJ169" s="158"/>
      <c r="AK169" s="158"/>
      <c r="AL169" s="158"/>
      <c r="AM169" s="158"/>
      <c r="AN169" s="158"/>
      <c r="AO169" s="158"/>
      <c r="AP169" s="158"/>
      <c r="AQ169" s="158"/>
      <c r="AR169" s="158"/>
      <c r="AS169" s="158"/>
      <c r="AT169" s="158"/>
      <c r="AU169" s="158"/>
    </row>
    <row r="170" spans="3:47" s="1" customFormat="1" x14ac:dyDescent="0.25">
      <c r="C170" s="155">
        <v>166</v>
      </c>
      <c r="D170" s="156" t="s">
        <v>828</v>
      </c>
      <c r="E170" s="156" t="s">
        <v>1307</v>
      </c>
      <c r="F170" s="156" t="s">
        <v>2373</v>
      </c>
      <c r="G170" s="156" t="s">
        <v>551</v>
      </c>
      <c r="H170" s="156" t="s">
        <v>3033</v>
      </c>
      <c r="I170" s="157" t="s">
        <v>3163</v>
      </c>
      <c r="J170" s="156" t="b">
        <v>1</v>
      </c>
      <c r="K170" s="156" t="b">
        <v>0</v>
      </c>
      <c r="L170" s="156" t="b">
        <v>0</v>
      </c>
      <c r="M170" s="156" t="b">
        <v>0</v>
      </c>
      <c r="N170" s="156"/>
      <c r="O170" s="156" t="s">
        <v>594</v>
      </c>
      <c r="P170" s="156"/>
      <c r="Q170" s="156" t="s">
        <v>3164</v>
      </c>
      <c r="R170" s="156" t="s">
        <v>262</v>
      </c>
      <c r="S170" s="157" t="s">
        <v>3156</v>
      </c>
      <c r="T170" s="157" t="s">
        <v>3165</v>
      </c>
      <c r="U170" s="157" t="s">
        <v>552</v>
      </c>
      <c r="V170" s="157" t="s">
        <v>3156</v>
      </c>
      <c r="W170" s="157" t="s">
        <v>3165</v>
      </c>
      <c r="X170" s="156" t="b">
        <v>0</v>
      </c>
      <c r="Y170" s="156" t="b">
        <v>0</v>
      </c>
      <c r="Z170" s="156" t="b">
        <v>0</v>
      </c>
      <c r="AA170" s="156" t="b">
        <v>0</v>
      </c>
      <c r="AB170" s="156"/>
      <c r="AC170" s="156" t="s">
        <v>1296</v>
      </c>
      <c r="AD170" s="156" t="s">
        <v>3166</v>
      </c>
      <c r="AE170" s="156" t="s">
        <v>3167</v>
      </c>
      <c r="AF170" s="158" t="s">
        <v>1865</v>
      </c>
      <c r="AG170" s="156"/>
      <c r="AH170" s="158"/>
      <c r="AI170" s="158"/>
      <c r="AJ170" s="158"/>
      <c r="AK170" s="158"/>
      <c r="AL170" s="158"/>
      <c r="AM170" s="158"/>
      <c r="AN170" s="158"/>
      <c r="AO170" s="158"/>
      <c r="AP170" s="158"/>
      <c r="AQ170" s="158"/>
      <c r="AR170" s="158"/>
      <c r="AS170" s="158"/>
      <c r="AT170" s="158"/>
      <c r="AU170" s="158"/>
    </row>
    <row r="171" spans="3:47" s="1" customFormat="1" x14ac:dyDescent="0.25">
      <c r="C171" s="155">
        <v>167</v>
      </c>
      <c r="D171" s="156" t="s">
        <v>828</v>
      </c>
      <c r="E171" s="156" t="s">
        <v>1307</v>
      </c>
      <c r="F171" s="156" t="s">
        <v>2371</v>
      </c>
      <c r="G171" s="156" t="s">
        <v>551</v>
      </c>
      <c r="H171" s="156" t="s">
        <v>3139</v>
      </c>
      <c r="I171" s="157" t="s">
        <v>3168</v>
      </c>
      <c r="J171" s="156" t="b">
        <v>1</v>
      </c>
      <c r="K171" s="156" t="b">
        <v>0</v>
      </c>
      <c r="L171" s="156" t="b">
        <v>0</v>
      </c>
      <c r="M171" s="156" t="b">
        <v>0</v>
      </c>
      <c r="N171" s="156"/>
      <c r="O171" s="156" t="s">
        <v>2646</v>
      </c>
      <c r="P171" s="156" t="s">
        <v>67</v>
      </c>
      <c r="Q171" s="156" t="s">
        <v>3169</v>
      </c>
      <c r="R171" s="156" t="s">
        <v>262</v>
      </c>
      <c r="S171" s="157" t="s">
        <v>3170</v>
      </c>
      <c r="T171" s="157" t="s">
        <v>3171</v>
      </c>
      <c r="U171" s="157" t="s">
        <v>552</v>
      </c>
      <c r="V171" s="157" t="s">
        <v>3170</v>
      </c>
      <c r="W171" s="157" t="s">
        <v>3171</v>
      </c>
      <c r="X171" s="156" t="b">
        <v>0</v>
      </c>
      <c r="Y171" s="156" t="b">
        <v>0</v>
      </c>
      <c r="Z171" s="156" t="b">
        <v>0</v>
      </c>
      <c r="AA171" s="156" t="b">
        <v>0</v>
      </c>
      <c r="AB171" s="156"/>
      <c r="AC171" s="156" t="s">
        <v>490</v>
      </c>
      <c r="AD171" s="156" t="s">
        <v>2342</v>
      </c>
      <c r="AE171" s="156" t="s">
        <v>3172</v>
      </c>
      <c r="AF171" s="158" t="s">
        <v>1724</v>
      </c>
      <c r="AG171" s="156"/>
      <c r="AH171" s="158"/>
      <c r="AI171" s="158"/>
      <c r="AJ171" s="158"/>
      <c r="AK171" s="158"/>
      <c r="AL171" s="158"/>
      <c r="AM171" s="158"/>
      <c r="AN171" s="158"/>
      <c r="AO171" s="158"/>
      <c r="AP171" s="158"/>
      <c r="AQ171" s="158"/>
      <c r="AR171" s="158"/>
      <c r="AS171" s="158"/>
      <c r="AT171" s="158"/>
      <c r="AU171" s="158"/>
    </row>
    <row r="172" spans="3:47" s="1" customFormat="1" x14ac:dyDescent="0.25">
      <c r="C172" s="155">
        <v>168</v>
      </c>
      <c r="D172" s="156" t="s">
        <v>828</v>
      </c>
      <c r="E172" s="156" t="s">
        <v>1307</v>
      </c>
      <c r="F172" s="156" t="s">
        <v>2355</v>
      </c>
      <c r="G172" s="156" t="s">
        <v>551</v>
      </c>
      <c r="H172" s="156" t="s">
        <v>3089</v>
      </c>
      <c r="I172" s="157" t="s">
        <v>3173</v>
      </c>
      <c r="J172" s="156" t="b">
        <v>1</v>
      </c>
      <c r="K172" s="156" t="b">
        <v>0</v>
      </c>
      <c r="L172" s="156" t="b">
        <v>0</v>
      </c>
      <c r="M172" s="156" t="b">
        <v>0</v>
      </c>
      <c r="N172" s="156"/>
      <c r="O172" s="156" t="s">
        <v>3174</v>
      </c>
      <c r="P172" s="156" t="s">
        <v>3175</v>
      </c>
      <c r="Q172" s="156"/>
      <c r="R172" s="156" t="s">
        <v>3176</v>
      </c>
      <c r="S172" s="157" t="s">
        <v>3177</v>
      </c>
      <c r="T172" s="157" t="s">
        <v>3178</v>
      </c>
      <c r="U172" s="157" t="s">
        <v>654</v>
      </c>
      <c r="V172" s="157" t="s">
        <v>3177</v>
      </c>
      <c r="W172" s="157" t="s">
        <v>3178</v>
      </c>
      <c r="X172" s="156" t="b">
        <v>0</v>
      </c>
      <c r="Y172" s="156" t="b">
        <v>0</v>
      </c>
      <c r="Z172" s="156" t="b">
        <v>0</v>
      </c>
      <c r="AA172" s="156" t="b">
        <v>0</v>
      </c>
      <c r="AB172" s="156"/>
      <c r="AC172" s="156" t="s">
        <v>3179</v>
      </c>
      <c r="AD172" s="156" t="s">
        <v>2342</v>
      </c>
      <c r="AE172" s="156" t="s">
        <v>3180</v>
      </c>
      <c r="AF172" s="158" t="s">
        <v>3181</v>
      </c>
      <c r="AG172" s="156"/>
      <c r="AH172" s="158"/>
      <c r="AI172" s="158"/>
      <c r="AJ172" s="158"/>
      <c r="AK172" s="158"/>
      <c r="AL172" s="158"/>
      <c r="AM172" s="158"/>
      <c r="AN172" s="158"/>
      <c r="AO172" s="158"/>
      <c r="AP172" s="158"/>
      <c r="AQ172" s="158"/>
      <c r="AR172" s="158"/>
      <c r="AS172" s="158"/>
      <c r="AT172" s="158"/>
      <c r="AU172" s="158"/>
    </row>
    <row r="173" spans="3:47" s="1" customFormat="1" x14ac:dyDescent="0.25">
      <c r="C173" s="155">
        <v>169</v>
      </c>
      <c r="D173" s="156" t="s">
        <v>828</v>
      </c>
      <c r="E173" s="156" t="s">
        <v>1307</v>
      </c>
      <c r="F173" s="156" t="s">
        <v>2355</v>
      </c>
      <c r="G173" s="156" t="s">
        <v>551</v>
      </c>
      <c r="H173" s="156" t="s">
        <v>3182</v>
      </c>
      <c r="I173" s="157" t="s">
        <v>3183</v>
      </c>
      <c r="J173" s="156" t="b">
        <v>1</v>
      </c>
      <c r="K173" s="156" t="b">
        <v>0</v>
      </c>
      <c r="L173" s="156" t="b">
        <v>0</v>
      </c>
      <c r="M173" s="156" t="b">
        <v>0</v>
      </c>
      <c r="N173" s="156"/>
      <c r="O173" s="156" t="s">
        <v>2646</v>
      </c>
      <c r="P173" s="156" t="s">
        <v>67</v>
      </c>
      <c r="Q173" s="156" t="s">
        <v>3184</v>
      </c>
      <c r="R173" s="156" t="s">
        <v>262</v>
      </c>
      <c r="S173" s="157" t="s">
        <v>3185</v>
      </c>
      <c r="T173" s="157" t="s">
        <v>3104</v>
      </c>
      <c r="U173" s="157" t="s">
        <v>552</v>
      </c>
      <c r="V173" s="157" t="s">
        <v>3185</v>
      </c>
      <c r="W173" s="157" t="s">
        <v>3104</v>
      </c>
      <c r="X173" s="156" t="b">
        <v>0</v>
      </c>
      <c r="Y173" s="156" t="b">
        <v>0</v>
      </c>
      <c r="Z173" s="156" t="b">
        <v>0</v>
      </c>
      <c r="AA173" s="156" t="b">
        <v>0</v>
      </c>
      <c r="AB173" s="156"/>
      <c r="AC173" s="156" t="s">
        <v>3186</v>
      </c>
      <c r="AD173" s="156" t="s">
        <v>2342</v>
      </c>
      <c r="AE173" s="156" t="s">
        <v>3187</v>
      </c>
      <c r="AF173" s="158" t="s">
        <v>1724</v>
      </c>
      <c r="AG173" s="156"/>
      <c r="AH173" s="158"/>
      <c r="AI173" s="158"/>
      <c r="AJ173" s="158"/>
      <c r="AK173" s="158"/>
      <c r="AL173" s="158"/>
      <c r="AM173" s="158"/>
      <c r="AN173" s="158"/>
      <c r="AO173" s="158"/>
      <c r="AP173" s="158"/>
      <c r="AQ173" s="158"/>
      <c r="AR173" s="158"/>
      <c r="AS173" s="158"/>
      <c r="AT173" s="158"/>
      <c r="AU173" s="158"/>
    </row>
    <row r="174" spans="3:47" s="1" customFormat="1" x14ac:dyDescent="0.25">
      <c r="C174" s="155">
        <v>170</v>
      </c>
      <c r="D174" s="156" t="s">
        <v>828</v>
      </c>
      <c r="E174" s="156" t="s">
        <v>1307</v>
      </c>
      <c r="F174" s="156" t="s">
        <v>2355</v>
      </c>
      <c r="G174" s="156" t="s">
        <v>551</v>
      </c>
      <c r="H174" s="156" t="s">
        <v>3188</v>
      </c>
      <c r="I174" s="157" t="s">
        <v>3189</v>
      </c>
      <c r="J174" s="156" t="b">
        <v>1</v>
      </c>
      <c r="K174" s="156" t="b">
        <v>0</v>
      </c>
      <c r="L174" s="156" t="b">
        <v>0</v>
      </c>
      <c r="M174" s="156" t="b">
        <v>0</v>
      </c>
      <c r="N174" s="156"/>
      <c r="O174" s="156" t="s">
        <v>3190</v>
      </c>
      <c r="P174" s="156"/>
      <c r="Q174" s="156"/>
      <c r="R174" s="156" t="s">
        <v>3191</v>
      </c>
      <c r="S174" s="157" t="s">
        <v>3192</v>
      </c>
      <c r="T174" s="157" t="s">
        <v>3193</v>
      </c>
      <c r="U174" s="157" t="s">
        <v>700</v>
      </c>
      <c r="V174" s="157" t="s">
        <v>3192</v>
      </c>
      <c r="W174" s="157" t="s">
        <v>3193</v>
      </c>
      <c r="X174" s="156" t="b">
        <v>0</v>
      </c>
      <c r="Y174" s="156" t="b">
        <v>0</v>
      </c>
      <c r="Z174" s="156" t="b">
        <v>0</v>
      </c>
      <c r="AA174" s="156" t="b">
        <v>0</v>
      </c>
      <c r="AB174" s="156"/>
      <c r="AC174" s="156" t="s">
        <v>3145</v>
      </c>
      <c r="AD174" s="156" t="s">
        <v>2344</v>
      </c>
      <c r="AE174" s="156" t="s">
        <v>3194</v>
      </c>
      <c r="AF174" s="158" t="s">
        <v>3195</v>
      </c>
      <c r="AG174" s="156"/>
      <c r="AH174" s="158"/>
      <c r="AI174" s="158"/>
      <c r="AJ174" s="158"/>
      <c r="AK174" s="158"/>
      <c r="AL174" s="158"/>
      <c r="AM174" s="158"/>
      <c r="AN174" s="158"/>
      <c r="AO174" s="158"/>
      <c r="AP174" s="158"/>
      <c r="AQ174" s="158"/>
      <c r="AR174" s="158"/>
      <c r="AS174" s="158"/>
      <c r="AT174" s="158"/>
      <c r="AU174" s="158"/>
    </row>
    <row r="175" spans="3:47" s="1" customFormat="1" x14ac:dyDescent="0.25">
      <c r="C175" s="155">
        <v>171</v>
      </c>
      <c r="D175" s="156" t="s">
        <v>828</v>
      </c>
      <c r="E175" s="156" t="s">
        <v>1307</v>
      </c>
      <c r="F175" s="156" t="s">
        <v>2357</v>
      </c>
      <c r="G175" s="156" t="s">
        <v>551</v>
      </c>
      <c r="H175" s="156" t="s">
        <v>3188</v>
      </c>
      <c r="I175" s="157" t="s">
        <v>103</v>
      </c>
      <c r="J175" s="156" t="b">
        <v>1</v>
      </c>
      <c r="K175" s="156" t="b">
        <v>0</v>
      </c>
      <c r="L175" s="156" t="b">
        <v>0</v>
      </c>
      <c r="M175" s="156" t="b">
        <v>0</v>
      </c>
      <c r="N175" s="156"/>
      <c r="O175" s="156" t="s">
        <v>3196</v>
      </c>
      <c r="P175" s="156"/>
      <c r="Q175" s="156"/>
      <c r="R175" s="156" t="s">
        <v>3191</v>
      </c>
      <c r="S175" s="157" t="s">
        <v>3192</v>
      </c>
      <c r="T175" s="157" t="s">
        <v>3197</v>
      </c>
      <c r="U175" s="157" t="s">
        <v>700</v>
      </c>
      <c r="V175" s="157" t="s">
        <v>3192</v>
      </c>
      <c r="W175" s="157" t="s">
        <v>3197</v>
      </c>
      <c r="X175" s="156" t="b">
        <v>0</v>
      </c>
      <c r="Y175" s="156" t="b">
        <v>0</v>
      </c>
      <c r="Z175" s="156" t="b">
        <v>0</v>
      </c>
      <c r="AA175" s="156" t="b">
        <v>0</v>
      </c>
      <c r="AB175" s="156"/>
      <c r="AC175" s="156" t="s">
        <v>3198</v>
      </c>
      <c r="AD175" s="156" t="s">
        <v>2342</v>
      </c>
      <c r="AE175" s="156" t="s">
        <v>3199</v>
      </c>
      <c r="AF175" s="158" t="s">
        <v>3200</v>
      </c>
      <c r="AG175" s="156"/>
      <c r="AH175" s="158"/>
      <c r="AI175" s="158"/>
      <c r="AJ175" s="158"/>
      <c r="AK175" s="158"/>
      <c r="AL175" s="158"/>
      <c r="AM175" s="158"/>
      <c r="AN175" s="158"/>
      <c r="AO175" s="158"/>
      <c r="AP175" s="158"/>
      <c r="AQ175" s="158"/>
      <c r="AR175" s="158"/>
      <c r="AS175" s="158"/>
      <c r="AT175" s="158"/>
      <c r="AU175" s="158"/>
    </row>
    <row r="176" spans="3:47" s="1" customFormat="1" x14ac:dyDescent="0.25">
      <c r="C176" s="155">
        <v>172</v>
      </c>
      <c r="D176" s="156" t="s">
        <v>828</v>
      </c>
      <c r="E176" s="156" t="s">
        <v>1307</v>
      </c>
      <c r="F176" s="156" t="s">
        <v>2355</v>
      </c>
      <c r="G176" s="156" t="s">
        <v>551</v>
      </c>
      <c r="H176" s="156" t="s">
        <v>3201</v>
      </c>
      <c r="I176" s="157" t="s">
        <v>3202</v>
      </c>
      <c r="J176" s="156" t="b">
        <v>1</v>
      </c>
      <c r="K176" s="156" t="b">
        <v>0</v>
      </c>
      <c r="L176" s="156" t="b">
        <v>0</v>
      </c>
      <c r="M176" s="156" t="b">
        <v>0</v>
      </c>
      <c r="N176" s="156"/>
      <c r="O176" s="156" t="s">
        <v>3203</v>
      </c>
      <c r="P176" s="156"/>
      <c r="Q176" s="156"/>
      <c r="R176" s="156" t="s">
        <v>1623</v>
      </c>
      <c r="S176" s="157" t="s">
        <v>3204</v>
      </c>
      <c r="T176" s="157" t="s">
        <v>3205</v>
      </c>
      <c r="U176" s="157" t="s">
        <v>700</v>
      </c>
      <c r="V176" s="157" t="s">
        <v>3204</v>
      </c>
      <c r="W176" s="157" t="s">
        <v>3205</v>
      </c>
      <c r="X176" s="156" t="b">
        <v>0</v>
      </c>
      <c r="Y176" s="156" t="b">
        <v>0</v>
      </c>
      <c r="Z176" s="156" t="b">
        <v>0</v>
      </c>
      <c r="AA176" s="156" t="b">
        <v>0</v>
      </c>
      <c r="AB176" s="156"/>
      <c r="AC176" s="156" t="s">
        <v>3206</v>
      </c>
      <c r="AD176" s="156" t="s">
        <v>2342</v>
      </c>
      <c r="AE176" s="156" t="s">
        <v>3207</v>
      </c>
      <c r="AF176" s="158" t="s">
        <v>3208</v>
      </c>
      <c r="AG176" s="156"/>
      <c r="AH176" s="158"/>
      <c r="AI176" s="158"/>
      <c r="AJ176" s="158"/>
      <c r="AK176" s="158"/>
      <c r="AL176" s="158"/>
      <c r="AM176" s="158"/>
      <c r="AN176" s="158"/>
      <c r="AO176" s="158"/>
      <c r="AP176" s="158"/>
      <c r="AQ176" s="158"/>
      <c r="AR176" s="158"/>
      <c r="AS176" s="158"/>
      <c r="AT176" s="158"/>
      <c r="AU176" s="158"/>
    </row>
    <row r="177" spans="3:47" s="1" customFormat="1" x14ac:dyDescent="0.25">
      <c r="C177" s="155">
        <v>173</v>
      </c>
      <c r="D177" s="156" t="s">
        <v>828</v>
      </c>
      <c r="E177" s="156" t="s">
        <v>1307</v>
      </c>
      <c r="F177" s="156" t="s">
        <v>2355</v>
      </c>
      <c r="G177" s="156" t="s">
        <v>551</v>
      </c>
      <c r="H177" s="156" t="s">
        <v>3201</v>
      </c>
      <c r="I177" s="157" t="s">
        <v>3209</v>
      </c>
      <c r="J177" s="156" t="b">
        <v>1</v>
      </c>
      <c r="K177" s="156" t="b">
        <v>0</v>
      </c>
      <c r="L177" s="156" t="b">
        <v>0</v>
      </c>
      <c r="M177" s="156" t="b">
        <v>0</v>
      </c>
      <c r="N177" s="156"/>
      <c r="O177" s="156" t="s">
        <v>3210</v>
      </c>
      <c r="P177" s="156"/>
      <c r="Q177" s="156"/>
      <c r="R177" s="156" t="s">
        <v>1623</v>
      </c>
      <c r="S177" s="157" t="s">
        <v>3204</v>
      </c>
      <c r="T177" s="157" t="s">
        <v>2447</v>
      </c>
      <c r="U177" s="157" t="s">
        <v>700</v>
      </c>
      <c r="V177" s="157" t="s">
        <v>3204</v>
      </c>
      <c r="W177" s="157" t="s">
        <v>2447</v>
      </c>
      <c r="X177" s="156" t="b">
        <v>0</v>
      </c>
      <c r="Y177" s="156" t="b">
        <v>0</v>
      </c>
      <c r="Z177" s="156" t="b">
        <v>0</v>
      </c>
      <c r="AA177" s="156" t="b">
        <v>0</v>
      </c>
      <c r="AB177" s="156"/>
      <c r="AC177" s="156" t="s">
        <v>3206</v>
      </c>
      <c r="AD177" s="156" t="s">
        <v>2342</v>
      </c>
      <c r="AE177" s="156" t="s">
        <v>3211</v>
      </c>
      <c r="AF177" s="158" t="s">
        <v>651</v>
      </c>
      <c r="AG177" s="156"/>
      <c r="AH177" s="158"/>
      <c r="AI177" s="158"/>
      <c r="AJ177" s="158"/>
      <c r="AK177" s="158"/>
      <c r="AL177" s="158"/>
      <c r="AM177" s="158"/>
      <c r="AN177" s="158"/>
      <c r="AO177" s="158"/>
      <c r="AP177" s="158"/>
      <c r="AQ177" s="158"/>
      <c r="AR177" s="158"/>
      <c r="AS177" s="158"/>
      <c r="AT177" s="158"/>
      <c r="AU177" s="158"/>
    </row>
    <row r="178" spans="3:47" s="1" customFormat="1" x14ac:dyDescent="0.25">
      <c r="C178" s="155">
        <v>174</v>
      </c>
      <c r="D178" s="156" t="s">
        <v>3212</v>
      </c>
      <c r="E178" s="156" t="s">
        <v>3213</v>
      </c>
      <c r="F178" s="156" t="s">
        <v>2358</v>
      </c>
      <c r="G178" s="156" t="s">
        <v>551</v>
      </c>
      <c r="H178" s="156" t="s">
        <v>3214</v>
      </c>
      <c r="I178" s="157" t="s">
        <v>3215</v>
      </c>
      <c r="J178" s="156" t="b">
        <v>1</v>
      </c>
      <c r="K178" s="156" t="b">
        <v>0</v>
      </c>
      <c r="L178" s="156" t="b">
        <v>0</v>
      </c>
      <c r="M178" s="156" t="b">
        <v>0</v>
      </c>
      <c r="N178" s="156"/>
      <c r="O178" s="156" t="s">
        <v>579</v>
      </c>
      <c r="P178" s="156" t="s">
        <v>2424</v>
      </c>
      <c r="Q178" s="156" t="s">
        <v>547</v>
      </c>
      <c r="R178" s="156" t="s">
        <v>3216</v>
      </c>
      <c r="S178" s="157" t="s">
        <v>3217</v>
      </c>
      <c r="T178" s="157" t="s">
        <v>3218</v>
      </c>
      <c r="U178" s="157" t="s">
        <v>655</v>
      </c>
      <c r="V178" s="157" t="s">
        <v>3217</v>
      </c>
      <c r="W178" s="157" t="s">
        <v>3218</v>
      </c>
      <c r="X178" s="156" t="b">
        <v>0</v>
      </c>
      <c r="Y178" s="156" t="b">
        <v>0</v>
      </c>
      <c r="Z178" s="156" t="b">
        <v>0</v>
      </c>
      <c r="AA178" s="156" t="b">
        <v>0</v>
      </c>
      <c r="AB178" s="156"/>
      <c r="AC178" s="156" t="s">
        <v>3219</v>
      </c>
      <c r="AD178" s="156" t="s">
        <v>3128</v>
      </c>
      <c r="AE178" s="156" t="s">
        <v>3220</v>
      </c>
      <c r="AF178" s="158" t="s">
        <v>1641</v>
      </c>
      <c r="AG178" s="156"/>
      <c r="AH178" s="158"/>
      <c r="AI178" s="158"/>
      <c r="AJ178" s="158"/>
      <c r="AK178" s="158"/>
      <c r="AL178" s="158"/>
      <c r="AM178" s="158"/>
      <c r="AN178" s="158"/>
      <c r="AO178" s="158"/>
      <c r="AP178" s="158"/>
      <c r="AQ178" s="158"/>
      <c r="AR178" s="158"/>
      <c r="AS178" s="158"/>
      <c r="AT178" s="158"/>
      <c r="AU178" s="158"/>
    </row>
    <row r="179" spans="3:47" s="1" customFormat="1" x14ac:dyDescent="0.25">
      <c r="C179" s="155">
        <v>175</v>
      </c>
      <c r="D179" s="156" t="s">
        <v>828</v>
      </c>
      <c r="E179" s="156" t="s">
        <v>1307</v>
      </c>
      <c r="F179" s="156" t="s">
        <v>2377</v>
      </c>
      <c r="G179" s="156" t="s">
        <v>551</v>
      </c>
      <c r="H179" s="156" t="s">
        <v>3033</v>
      </c>
      <c r="I179" s="157" t="s">
        <v>3221</v>
      </c>
      <c r="J179" s="156" t="b">
        <v>1</v>
      </c>
      <c r="K179" s="156" t="b">
        <v>0</v>
      </c>
      <c r="L179" s="156" t="b">
        <v>0</v>
      </c>
      <c r="M179" s="156" t="b">
        <v>0</v>
      </c>
      <c r="N179" s="156"/>
      <c r="O179" s="156" t="s">
        <v>2162</v>
      </c>
      <c r="P179" s="156" t="s">
        <v>67</v>
      </c>
      <c r="Q179" s="156"/>
      <c r="R179" s="156" t="s">
        <v>3222</v>
      </c>
      <c r="S179" s="157" t="s">
        <v>3223</v>
      </c>
      <c r="T179" s="157" t="s">
        <v>3110</v>
      </c>
      <c r="U179" s="157" t="s">
        <v>552</v>
      </c>
      <c r="V179" s="157" t="s">
        <v>3223</v>
      </c>
      <c r="W179" s="157" t="s">
        <v>3110</v>
      </c>
      <c r="X179" s="156" t="b">
        <v>0</v>
      </c>
      <c r="Y179" s="156" t="b">
        <v>0</v>
      </c>
      <c r="Z179" s="156" t="b">
        <v>0</v>
      </c>
      <c r="AA179" s="156" t="b">
        <v>0</v>
      </c>
      <c r="AB179" s="156"/>
      <c r="AC179" s="156" t="s">
        <v>2004</v>
      </c>
      <c r="AD179" s="156" t="s">
        <v>2314</v>
      </c>
      <c r="AE179" s="156" t="s">
        <v>3224</v>
      </c>
      <c r="AF179" s="158" t="s">
        <v>2422</v>
      </c>
      <c r="AG179" s="156"/>
      <c r="AH179" s="158"/>
      <c r="AI179" s="158"/>
      <c r="AJ179" s="158"/>
      <c r="AK179" s="158"/>
      <c r="AL179" s="158"/>
      <c r="AM179" s="158"/>
      <c r="AN179" s="158"/>
      <c r="AO179" s="158"/>
      <c r="AP179" s="158"/>
      <c r="AQ179" s="158"/>
      <c r="AR179" s="158"/>
      <c r="AS179" s="158"/>
      <c r="AT179" s="158"/>
      <c r="AU179" s="158"/>
    </row>
    <row r="180" spans="3:47" s="1" customFormat="1" x14ac:dyDescent="0.25">
      <c r="C180" s="155">
        <v>176</v>
      </c>
      <c r="D180" s="156" t="s">
        <v>828</v>
      </c>
      <c r="E180" s="156" t="s">
        <v>1307</v>
      </c>
      <c r="F180" s="156" t="s">
        <v>2355</v>
      </c>
      <c r="G180" s="156" t="s">
        <v>551</v>
      </c>
      <c r="H180" s="156" t="s">
        <v>3225</v>
      </c>
      <c r="I180" s="157" t="s">
        <v>871</v>
      </c>
      <c r="J180" s="156" t="b">
        <v>1</v>
      </c>
      <c r="K180" s="156" t="b">
        <v>0</v>
      </c>
      <c r="L180" s="156" t="b">
        <v>0</v>
      </c>
      <c r="M180" s="156" t="b">
        <v>0</v>
      </c>
      <c r="N180" s="156"/>
      <c r="O180" s="156"/>
      <c r="P180" s="156"/>
      <c r="Q180" s="156"/>
      <c r="R180" s="156" t="s">
        <v>3226</v>
      </c>
      <c r="S180" s="157" t="s">
        <v>3227</v>
      </c>
      <c r="T180" s="157" t="s">
        <v>872</v>
      </c>
      <c r="U180" s="157" t="s">
        <v>700</v>
      </c>
      <c r="V180" s="157" t="s">
        <v>3227</v>
      </c>
      <c r="W180" s="157" t="s">
        <v>872</v>
      </c>
      <c r="X180" s="156" t="b">
        <v>0</v>
      </c>
      <c r="Y180" s="156" t="b">
        <v>0</v>
      </c>
      <c r="Z180" s="156" t="b">
        <v>0</v>
      </c>
      <c r="AA180" s="156" t="b">
        <v>0</v>
      </c>
      <c r="AB180" s="156"/>
      <c r="AC180" s="156" t="s">
        <v>3228</v>
      </c>
      <c r="AD180" s="156" t="s">
        <v>2344</v>
      </c>
      <c r="AE180" s="156" t="s">
        <v>3229</v>
      </c>
      <c r="AF180" s="158" t="s">
        <v>3230</v>
      </c>
      <c r="AG180" s="156"/>
      <c r="AH180" s="158"/>
      <c r="AI180" s="158"/>
      <c r="AJ180" s="158"/>
      <c r="AK180" s="158"/>
      <c r="AL180" s="158"/>
      <c r="AM180" s="158"/>
      <c r="AN180" s="158"/>
      <c r="AO180" s="158"/>
      <c r="AP180" s="158"/>
      <c r="AQ180" s="158"/>
      <c r="AR180" s="158"/>
      <c r="AS180" s="158"/>
      <c r="AT180" s="158"/>
      <c r="AU180" s="158"/>
    </row>
    <row r="181" spans="3:47" s="1" customFormat="1" x14ac:dyDescent="0.25">
      <c r="C181" s="155">
        <v>177</v>
      </c>
      <c r="D181" s="156" t="s">
        <v>840</v>
      </c>
      <c r="E181" s="156" t="s">
        <v>1313</v>
      </c>
      <c r="F181" s="156" t="s">
        <v>2375</v>
      </c>
      <c r="G181" s="156" t="s">
        <v>551</v>
      </c>
      <c r="H181" s="156" t="s">
        <v>3007</v>
      </c>
      <c r="I181" s="157" t="s">
        <v>3231</v>
      </c>
      <c r="J181" s="156" t="b">
        <v>1</v>
      </c>
      <c r="K181" s="156" t="b">
        <v>0</v>
      </c>
      <c r="L181" s="156" t="b">
        <v>0</v>
      </c>
      <c r="M181" s="156" t="b">
        <v>0</v>
      </c>
      <c r="N181" s="156"/>
      <c r="O181" s="156" t="s">
        <v>1517</v>
      </c>
      <c r="P181" s="156" t="s">
        <v>67</v>
      </c>
      <c r="Q181" s="156"/>
      <c r="R181" s="156" t="s">
        <v>3232</v>
      </c>
      <c r="S181" s="157" t="s">
        <v>3233</v>
      </c>
      <c r="T181" s="157" t="s">
        <v>3234</v>
      </c>
      <c r="U181" s="157" t="s">
        <v>552</v>
      </c>
      <c r="V181" s="157" t="s">
        <v>3233</v>
      </c>
      <c r="W181" s="157" t="s">
        <v>3234</v>
      </c>
      <c r="X181" s="156" t="b">
        <v>0</v>
      </c>
      <c r="Y181" s="156" t="b">
        <v>0</v>
      </c>
      <c r="Z181" s="156" t="b">
        <v>0</v>
      </c>
      <c r="AA181" s="156" t="b">
        <v>0</v>
      </c>
      <c r="AB181" s="156"/>
      <c r="AC181" s="156" t="s">
        <v>3235</v>
      </c>
      <c r="AD181" s="156" t="s">
        <v>2454</v>
      </c>
      <c r="AE181" s="156" t="s">
        <v>3236</v>
      </c>
      <c r="AF181" s="158" t="s">
        <v>373</v>
      </c>
      <c r="AG181" s="156"/>
      <c r="AH181" s="158"/>
      <c r="AI181" s="158"/>
      <c r="AJ181" s="158"/>
      <c r="AK181" s="158"/>
      <c r="AL181" s="158"/>
      <c r="AM181" s="158"/>
      <c r="AN181" s="158"/>
      <c r="AO181" s="158"/>
      <c r="AP181" s="158"/>
      <c r="AQ181" s="158"/>
      <c r="AR181" s="158"/>
      <c r="AS181" s="158"/>
      <c r="AT181" s="158"/>
      <c r="AU181" s="158"/>
    </row>
    <row r="182" spans="3:47" s="1" customFormat="1" x14ac:dyDescent="0.25">
      <c r="C182" s="155">
        <v>178</v>
      </c>
      <c r="D182" s="156" t="s">
        <v>840</v>
      </c>
      <c r="E182" s="156" t="s">
        <v>1313</v>
      </c>
      <c r="F182" s="156" t="s">
        <v>2375</v>
      </c>
      <c r="G182" s="156" t="s">
        <v>551</v>
      </c>
      <c r="H182" s="156" t="s">
        <v>3007</v>
      </c>
      <c r="I182" s="157" t="s">
        <v>3237</v>
      </c>
      <c r="J182" s="156" t="b">
        <v>1</v>
      </c>
      <c r="K182" s="156" t="b">
        <v>0</v>
      </c>
      <c r="L182" s="156" t="b">
        <v>0</v>
      </c>
      <c r="M182" s="156" t="b">
        <v>0</v>
      </c>
      <c r="N182" s="156"/>
      <c r="O182" s="156" t="s">
        <v>1146</v>
      </c>
      <c r="P182" s="156" t="s">
        <v>67</v>
      </c>
      <c r="Q182" s="156"/>
      <c r="R182" s="156" t="s">
        <v>3238</v>
      </c>
      <c r="S182" s="157" t="s">
        <v>3233</v>
      </c>
      <c r="T182" s="157" t="s">
        <v>3239</v>
      </c>
      <c r="U182" s="157" t="s">
        <v>552</v>
      </c>
      <c r="V182" s="157" t="s">
        <v>3233</v>
      </c>
      <c r="W182" s="157" t="s">
        <v>3239</v>
      </c>
      <c r="X182" s="156" t="b">
        <v>0</v>
      </c>
      <c r="Y182" s="156" t="b">
        <v>0</v>
      </c>
      <c r="Z182" s="156" t="b">
        <v>0</v>
      </c>
      <c r="AA182" s="156" t="b">
        <v>0</v>
      </c>
      <c r="AB182" s="156"/>
      <c r="AC182" s="156" t="s">
        <v>3240</v>
      </c>
      <c r="AD182" s="156" t="s">
        <v>2454</v>
      </c>
      <c r="AE182" s="156" t="s">
        <v>3241</v>
      </c>
      <c r="AF182" s="158" t="s">
        <v>1793</v>
      </c>
      <c r="AG182" s="156"/>
      <c r="AH182" s="158"/>
      <c r="AI182" s="158"/>
      <c r="AJ182" s="158"/>
      <c r="AK182" s="158"/>
      <c r="AL182" s="158"/>
      <c r="AM182" s="158"/>
      <c r="AN182" s="158"/>
      <c r="AO182" s="158"/>
      <c r="AP182" s="158"/>
      <c r="AQ182" s="158"/>
      <c r="AR182" s="158"/>
      <c r="AS182" s="158"/>
      <c r="AT182" s="158"/>
      <c r="AU182" s="158"/>
    </row>
    <row r="183" spans="3:47" s="1" customFormat="1" x14ac:dyDescent="0.25">
      <c r="C183" s="155">
        <v>179</v>
      </c>
      <c r="D183" s="156" t="s">
        <v>828</v>
      </c>
      <c r="E183" s="156" t="s">
        <v>1307</v>
      </c>
      <c r="F183" s="156" t="s">
        <v>2381</v>
      </c>
      <c r="G183" s="156" t="s">
        <v>551</v>
      </c>
      <c r="H183" s="156" t="s">
        <v>3089</v>
      </c>
      <c r="I183" s="157" t="s">
        <v>3242</v>
      </c>
      <c r="J183" s="156" t="b">
        <v>1</v>
      </c>
      <c r="K183" s="156" t="b">
        <v>0</v>
      </c>
      <c r="L183" s="156" t="b">
        <v>0</v>
      </c>
      <c r="M183" s="156" t="b">
        <v>0</v>
      </c>
      <c r="N183" s="156"/>
      <c r="O183" s="156" t="s">
        <v>3243</v>
      </c>
      <c r="P183" s="156"/>
      <c r="Q183" s="156"/>
      <c r="R183" s="156" t="s">
        <v>3244</v>
      </c>
      <c r="S183" s="157" t="s">
        <v>3245</v>
      </c>
      <c r="T183" s="157" t="s">
        <v>3246</v>
      </c>
      <c r="U183" s="157" t="s">
        <v>700</v>
      </c>
      <c r="V183" s="157" t="s">
        <v>3245</v>
      </c>
      <c r="W183" s="157" t="s">
        <v>3246</v>
      </c>
      <c r="X183" s="156" t="b">
        <v>0</v>
      </c>
      <c r="Y183" s="156" t="b">
        <v>0</v>
      </c>
      <c r="Z183" s="156" t="b">
        <v>0</v>
      </c>
      <c r="AA183" s="156" t="b">
        <v>0</v>
      </c>
      <c r="AB183" s="156"/>
      <c r="AC183" s="156" t="s">
        <v>398</v>
      </c>
      <c r="AD183" s="156" t="s">
        <v>2342</v>
      </c>
      <c r="AE183" s="156" t="s">
        <v>3247</v>
      </c>
      <c r="AF183" s="158" t="s">
        <v>3248</v>
      </c>
      <c r="AG183" s="156"/>
      <c r="AH183" s="158"/>
      <c r="AI183" s="158"/>
      <c r="AJ183" s="158"/>
      <c r="AK183" s="158"/>
      <c r="AL183" s="158"/>
      <c r="AM183" s="158"/>
      <c r="AN183" s="158"/>
      <c r="AO183" s="158"/>
      <c r="AP183" s="158"/>
      <c r="AQ183" s="158"/>
      <c r="AR183" s="158"/>
      <c r="AS183" s="158"/>
      <c r="AT183" s="158"/>
      <c r="AU183" s="158"/>
    </row>
    <row r="184" spans="3:47" s="1" customFormat="1" x14ac:dyDescent="0.25">
      <c r="C184" s="155">
        <v>180</v>
      </c>
      <c r="D184" s="156" t="s">
        <v>828</v>
      </c>
      <c r="E184" s="156" t="s">
        <v>1307</v>
      </c>
      <c r="F184" s="156" t="s">
        <v>73</v>
      </c>
      <c r="G184" s="156" t="s">
        <v>551</v>
      </c>
      <c r="H184" s="156" t="s">
        <v>618</v>
      </c>
      <c r="I184" s="157" t="s">
        <v>3249</v>
      </c>
      <c r="J184" s="156" t="b">
        <v>1</v>
      </c>
      <c r="K184" s="156" t="b">
        <v>0</v>
      </c>
      <c r="L184" s="156" t="b">
        <v>0</v>
      </c>
      <c r="M184" s="156" t="b">
        <v>0</v>
      </c>
      <c r="N184" s="156"/>
      <c r="O184" s="156"/>
      <c r="P184" s="156" t="s">
        <v>67</v>
      </c>
      <c r="Q184" s="156" t="s">
        <v>547</v>
      </c>
      <c r="R184" s="156" t="s">
        <v>3250</v>
      </c>
      <c r="S184" s="157" t="s">
        <v>3251</v>
      </c>
      <c r="T184" s="157" t="s">
        <v>3252</v>
      </c>
      <c r="U184" s="157" t="s">
        <v>653</v>
      </c>
      <c r="V184" s="157" t="s">
        <v>3251</v>
      </c>
      <c r="W184" s="157" t="s">
        <v>3252</v>
      </c>
      <c r="X184" s="156" t="b">
        <v>0</v>
      </c>
      <c r="Y184" s="156" t="b">
        <v>0</v>
      </c>
      <c r="Z184" s="156" t="b">
        <v>0</v>
      </c>
      <c r="AA184" s="156" t="b">
        <v>0</v>
      </c>
      <c r="AB184" s="156"/>
      <c r="AC184" s="156" t="s">
        <v>869</v>
      </c>
      <c r="AD184" s="156" t="s">
        <v>2343</v>
      </c>
      <c r="AE184" s="156" t="s">
        <v>3253</v>
      </c>
      <c r="AF184" s="158" t="s">
        <v>3254</v>
      </c>
      <c r="AG184" s="156"/>
      <c r="AH184" s="158"/>
      <c r="AI184" s="158"/>
      <c r="AJ184" s="158"/>
      <c r="AK184" s="158"/>
      <c r="AL184" s="158"/>
      <c r="AM184" s="158"/>
      <c r="AN184" s="158"/>
      <c r="AO184" s="158"/>
      <c r="AP184" s="158"/>
      <c r="AQ184" s="158"/>
      <c r="AR184" s="158"/>
      <c r="AS184" s="158"/>
      <c r="AT184" s="158"/>
      <c r="AU184" s="158"/>
    </row>
    <row r="185" spans="3:47" s="1" customFormat="1" x14ac:dyDescent="0.25">
      <c r="C185" s="155">
        <v>181</v>
      </c>
      <c r="D185" s="156" t="s">
        <v>3255</v>
      </c>
      <c r="E185" s="156"/>
      <c r="F185" s="156" t="s">
        <v>2355</v>
      </c>
      <c r="G185" s="156" t="s">
        <v>551</v>
      </c>
      <c r="H185" s="156" t="s">
        <v>3256</v>
      </c>
      <c r="I185" s="157" t="s">
        <v>651</v>
      </c>
      <c r="J185" s="156" t="b">
        <v>1</v>
      </c>
      <c r="K185" s="156" t="b">
        <v>0</v>
      </c>
      <c r="L185" s="156" t="b">
        <v>0</v>
      </c>
      <c r="M185" s="156" t="b">
        <v>0</v>
      </c>
      <c r="N185" s="156"/>
      <c r="O185" s="156" t="s">
        <v>920</v>
      </c>
      <c r="P185" s="156" t="s">
        <v>67</v>
      </c>
      <c r="Q185" s="156"/>
      <c r="R185" s="156" t="s">
        <v>3257</v>
      </c>
      <c r="S185" s="157" t="s">
        <v>3258</v>
      </c>
      <c r="T185" s="157" t="s">
        <v>3259</v>
      </c>
      <c r="U185" s="157" t="s">
        <v>653</v>
      </c>
      <c r="V185" s="157" t="s">
        <v>3258</v>
      </c>
      <c r="W185" s="157" t="s">
        <v>3259</v>
      </c>
      <c r="X185" s="156" t="b">
        <v>0</v>
      </c>
      <c r="Y185" s="156" t="b">
        <v>0</v>
      </c>
      <c r="Z185" s="156" t="b">
        <v>0</v>
      </c>
      <c r="AA185" s="156" t="b">
        <v>0</v>
      </c>
      <c r="AB185" s="156"/>
      <c r="AC185" s="156" t="s">
        <v>398</v>
      </c>
      <c r="AD185" s="156" t="s">
        <v>2314</v>
      </c>
      <c r="AE185" s="156" t="s">
        <v>3260</v>
      </c>
      <c r="AF185" s="158" t="s">
        <v>3261</v>
      </c>
      <c r="AG185" s="156"/>
      <c r="AH185" s="158"/>
      <c r="AI185" s="158"/>
      <c r="AJ185" s="158"/>
      <c r="AK185" s="158"/>
      <c r="AL185" s="158"/>
      <c r="AM185" s="158"/>
      <c r="AN185" s="158"/>
      <c r="AO185" s="158"/>
      <c r="AP185" s="158"/>
      <c r="AQ185" s="158"/>
      <c r="AR185" s="158"/>
      <c r="AS185" s="158"/>
      <c r="AT185" s="158"/>
      <c r="AU185" s="158"/>
    </row>
    <row r="186" spans="3:47" s="1" customFormat="1" x14ac:dyDescent="0.25">
      <c r="C186" s="155">
        <v>182</v>
      </c>
      <c r="D186" s="156" t="s">
        <v>828</v>
      </c>
      <c r="E186" s="156" t="s">
        <v>1307</v>
      </c>
      <c r="F186" s="156" t="s">
        <v>3262</v>
      </c>
      <c r="G186" s="156" t="s">
        <v>551</v>
      </c>
      <c r="H186" s="156" t="s">
        <v>3263</v>
      </c>
      <c r="I186" s="157" t="s">
        <v>1064</v>
      </c>
      <c r="J186" s="156" t="b">
        <v>1</v>
      </c>
      <c r="K186" s="156" t="b">
        <v>0</v>
      </c>
      <c r="L186" s="156" t="b">
        <v>0</v>
      </c>
      <c r="M186" s="156" t="b">
        <v>0</v>
      </c>
      <c r="N186" s="156"/>
      <c r="O186" s="156" t="s">
        <v>3264</v>
      </c>
      <c r="P186" s="156" t="s">
        <v>67</v>
      </c>
      <c r="Q186" s="156" t="s">
        <v>547</v>
      </c>
      <c r="R186" s="156" t="s">
        <v>3265</v>
      </c>
      <c r="S186" s="157" t="s">
        <v>3258</v>
      </c>
      <c r="T186" s="157" t="s">
        <v>512</v>
      </c>
      <c r="U186" s="157" t="s">
        <v>700</v>
      </c>
      <c r="V186" s="157" t="s">
        <v>3258</v>
      </c>
      <c r="W186" s="157" t="s">
        <v>512</v>
      </c>
      <c r="X186" s="156" t="b">
        <v>0</v>
      </c>
      <c r="Y186" s="156" t="b">
        <v>0</v>
      </c>
      <c r="Z186" s="156" t="b">
        <v>0</v>
      </c>
      <c r="AA186" s="156" t="b">
        <v>0</v>
      </c>
      <c r="AB186" s="156"/>
      <c r="AC186" s="156" t="s">
        <v>1830</v>
      </c>
      <c r="AD186" s="156" t="s">
        <v>2342</v>
      </c>
      <c r="AE186" s="156" t="s">
        <v>3266</v>
      </c>
      <c r="AF186" s="158" t="s">
        <v>2139</v>
      </c>
      <c r="AG186" s="156"/>
      <c r="AH186" s="158"/>
      <c r="AI186" s="158"/>
      <c r="AJ186" s="158"/>
      <c r="AK186" s="158"/>
      <c r="AL186" s="158"/>
      <c r="AM186" s="158"/>
      <c r="AN186" s="158"/>
      <c r="AO186" s="158"/>
      <c r="AP186" s="158"/>
      <c r="AQ186" s="158"/>
      <c r="AR186" s="158"/>
      <c r="AS186" s="158"/>
      <c r="AT186" s="158"/>
      <c r="AU186" s="158"/>
    </row>
    <row r="187" spans="3:47" s="1" customFormat="1" x14ac:dyDescent="0.25">
      <c r="C187" s="155">
        <v>183</v>
      </c>
      <c r="D187" s="156" t="s">
        <v>828</v>
      </c>
      <c r="E187" s="156" t="s">
        <v>1307</v>
      </c>
      <c r="F187" s="156" t="s">
        <v>2419</v>
      </c>
      <c r="G187" s="156" t="s">
        <v>551</v>
      </c>
      <c r="H187" s="156" t="s">
        <v>3267</v>
      </c>
      <c r="I187" s="157" t="s">
        <v>1558</v>
      </c>
      <c r="J187" s="156" t="b">
        <v>1</v>
      </c>
      <c r="K187" s="156" t="b">
        <v>0</v>
      </c>
      <c r="L187" s="156" t="b">
        <v>0</v>
      </c>
      <c r="M187" s="156" t="b">
        <v>0</v>
      </c>
      <c r="N187" s="156"/>
      <c r="O187" s="156" t="s">
        <v>3268</v>
      </c>
      <c r="P187" s="156" t="s">
        <v>67</v>
      </c>
      <c r="Q187" s="156" t="s">
        <v>547</v>
      </c>
      <c r="R187" s="156" t="s">
        <v>3269</v>
      </c>
      <c r="S187" s="157" t="s">
        <v>3270</v>
      </c>
      <c r="T187" s="157" t="s">
        <v>1561</v>
      </c>
      <c r="U187" s="157" t="s">
        <v>552</v>
      </c>
      <c r="V187" s="157" t="s">
        <v>3270</v>
      </c>
      <c r="W187" s="157" t="s">
        <v>1561</v>
      </c>
      <c r="X187" s="156" t="b">
        <v>0</v>
      </c>
      <c r="Y187" s="156" t="b">
        <v>0</v>
      </c>
      <c r="Z187" s="156" t="b">
        <v>0</v>
      </c>
      <c r="AA187" s="156" t="b">
        <v>0</v>
      </c>
      <c r="AB187" s="156"/>
      <c r="AC187" s="156" t="s">
        <v>3271</v>
      </c>
      <c r="AD187" s="156" t="s">
        <v>2342</v>
      </c>
      <c r="AE187" s="156" t="s">
        <v>3272</v>
      </c>
      <c r="AF187" s="158" t="s">
        <v>3273</v>
      </c>
      <c r="AG187" s="156"/>
      <c r="AH187" s="158"/>
      <c r="AI187" s="158"/>
      <c r="AJ187" s="158"/>
      <c r="AK187" s="158"/>
      <c r="AL187" s="158"/>
      <c r="AM187" s="158"/>
      <c r="AN187" s="158"/>
      <c r="AO187" s="158"/>
      <c r="AP187" s="158"/>
      <c r="AQ187" s="158"/>
      <c r="AR187" s="158"/>
      <c r="AS187" s="158"/>
      <c r="AT187" s="158"/>
      <c r="AU187" s="158"/>
    </row>
    <row r="188" spans="3:47" s="1" customFormat="1" x14ac:dyDescent="0.25">
      <c r="C188" s="155">
        <v>184</v>
      </c>
      <c r="D188" s="156" t="s">
        <v>782</v>
      </c>
      <c r="E188" s="156" t="s">
        <v>1131</v>
      </c>
      <c r="F188" s="156" t="s">
        <v>2374</v>
      </c>
      <c r="G188" s="156" t="s">
        <v>551</v>
      </c>
      <c r="H188" s="156" t="s">
        <v>3274</v>
      </c>
      <c r="I188" s="157" t="s">
        <v>3275</v>
      </c>
      <c r="J188" s="156" t="b">
        <v>1</v>
      </c>
      <c r="K188" s="156" t="b">
        <v>0</v>
      </c>
      <c r="L188" s="156" t="b">
        <v>0</v>
      </c>
      <c r="M188" s="156" t="b">
        <v>0</v>
      </c>
      <c r="N188" s="156"/>
      <c r="O188" s="156"/>
      <c r="P188" s="156" t="s">
        <v>67</v>
      </c>
      <c r="Q188" s="156" t="s">
        <v>547</v>
      </c>
      <c r="R188" s="156" t="s">
        <v>3276</v>
      </c>
      <c r="S188" s="157" t="s">
        <v>3277</v>
      </c>
      <c r="T188" s="157" t="s">
        <v>3278</v>
      </c>
      <c r="U188" s="157" t="s">
        <v>653</v>
      </c>
      <c r="V188" s="157" t="s">
        <v>3277</v>
      </c>
      <c r="W188" s="157" t="s">
        <v>3278</v>
      </c>
      <c r="X188" s="156" t="b">
        <v>0</v>
      </c>
      <c r="Y188" s="156" t="b">
        <v>0</v>
      </c>
      <c r="Z188" s="156" t="b">
        <v>0</v>
      </c>
      <c r="AA188" s="156" t="b">
        <v>0</v>
      </c>
      <c r="AB188" s="156"/>
      <c r="AC188" s="156" t="s">
        <v>3279</v>
      </c>
      <c r="AD188" s="156" t="s">
        <v>2342</v>
      </c>
      <c r="AE188" s="156" t="s">
        <v>3280</v>
      </c>
      <c r="AF188" s="158" t="s">
        <v>3281</v>
      </c>
      <c r="AG188" s="156"/>
      <c r="AH188" s="158"/>
      <c r="AI188" s="158"/>
      <c r="AJ188" s="158"/>
      <c r="AK188" s="158"/>
      <c r="AL188" s="158"/>
      <c r="AM188" s="158"/>
      <c r="AN188" s="158"/>
      <c r="AO188" s="158"/>
      <c r="AP188" s="158"/>
      <c r="AQ188" s="158"/>
      <c r="AR188" s="158"/>
      <c r="AS188" s="158"/>
      <c r="AT188" s="158"/>
      <c r="AU188" s="158"/>
    </row>
    <row r="189" spans="3:47" s="1" customFormat="1" x14ac:dyDescent="0.25">
      <c r="C189" s="155">
        <v>185</v>
      </c>
      <c r="D189" s="156" t="s">
        <v>1115</v>
      </c>
      <c r="E189" s="156" t="s">
        <v>1348</v>
      </c>
      <c r="F189" s="156" t="s">
        <v>2388</v>
      </c>
      <c r="G189" s="156" t="s">
        <v>551</v>
      </c>
      <c r="H189" s="156" t="s">
        <v>3182</v>
      </c>
      <c r="I189" s="157" t="s">
        <v>3282</v>
      </c>
      <c r="J189" s="156" t="b">
        <v>1</v>
      </c>
      <c r="K189" s="156" t="b">
        <v>0</v>
      </c>
      <c r="L189" s="156" t="b">
        <v>0</v>
      </c>
      <c r="M189" s="156" t="b">
        <v>0</v>
      </c>
      <c r="N189" s="156"/>
      <c r="O189" s="156"/>
      <c r="P189" s="156" t="s">
        <v>67</v>
      </c>
      <c r="Q189" s="156" t="s">
        <v>547</v>
      </c>
      <c r="R189" s="156" t="s">
        <v>3283</v>
      </c>
      <c r="S189" s="157" t="s">
        <v>3284</v>
      </c>
      <c r="T189" s="157" t="s">
        <v>3285</v>
      </c>
      <c r="U189" s="157" t="s">
        <v>653</v>
      </c>
      <c r="V189" s="157" t="s">
        <v>3284</v>
      </c>
      <c r="W189" s="157" t="s">
        <v>3285</v>
      </c>
      <c r="X189" s="156" t="b">
        <v>0</v>
      </c>
      <c r="Y189" s="156" t="b">
        <v>0</v>
      </c>
      <c r="Z189" s="156" t="b">
        <v>0</v>
      </c>
      <c r="AA189" s="156" t="b">
        <v>0</v>
      </c>
      <c r="AB189" s="156"/>
      <c r="AC189" s="156" t="s">
        <v>3286</v>
      </c>
      <c r="AD189" s="156" t="s">
        <v>2343</v>
      </c>
      <c r="AE189" s="156" t="s">
        <v>3287</v>
      </c>
      <c r="AF189" s="158" t="s">
        <v>1684</v>
      </c>
      <c r="AG189" s="156"/>
      <c r="AH189" s="158"/>
      <c r="AI189" s="158"/>
      <c r="AJ189" s="158"/>
      <c r="AK189" s="158"/>
      <c r="AL189" s="158"/>
      <c r="AM189" s="158"/>
      <c r="AN189" s="158"/>
      <c r="AO189" s="158"/>
      <c r="AP189" s="158"/>
      <c r="AQ189" s="158"/>
      <c r="AR189" s="158"/>
      <c r="AS189" s="158"/>
      <c r="AT189" s="158"/>
      <c r="AU189" s="158"/>
    </row>
    <row r="190" spans="3:47" s="1" customFormat="1" x14ac:dyDescent="0.25">
      <c r="C190" s="155">
        <v>186</v>
      </c>
      <c r="D190" s="156" t="s">
        <v>828</v>
      </c>
      <c r="E190" s="156" t="s">
        <v>1307</v>
      </c>
      <c r="F190" s="156" t="s">
        <v>3288</v>
      </c>
      <c r="G190" s="156" t="s">
        <v>551</v>
      </c>
      <c r="H190" s="156" t="s">
        <v>3289</v>
      </c>
      <c r="I190" s="157" t="s">
        <v>3290</v>
      </c>
      <c r="J190" s="156" t="b">
        <v>1</v>
      </c>
      <c r="K190" s="156" t="b">
        <v>0</v>
      </c>
      <c r="L190" s="156" t="b">
        <v>0</v>
      </c>
      <c r="M190" s="156" t="b">
        <v>0</v>
      </c>
      <c r="N190" s="156"/>
      <c r="O190" s="156" t="s">
        <v>3268</v>
      </c>
      <c r="P190" s="156" t="s">
        <v>67</v>
      </c>
      <c r="Q190" s="156"/>
      <c r="R190" s="156" t="s">
        <v>1623</v>
      </c>
      <c r="S190" s="157" t="s">
        <v>3291</v>
      </c>
      <c r="T190" s="157" t="s">
        <v>3292</v>
      </c>
      <c r="U190" s="157" t="s">
        <v>552</v>
      </c>
      <c r="V190" s="157" t="s">
        <v>3291</v>
      </c>
      <c r="W190" s="157" t="s">
        <v>3292</v>
      </c>
      <c r="X190" s="156" t="b">
        <v>0</v>
      </c>
      <c r="Y190" s="156" t="b">
        <v>0</v>
      </c>
      <c r="Z190" s="156" t="b">
        <v>0</v>
      </c>
      <c r="AA190" s="156" t="b">
        <v>0</v>
      </c>
      <c r="AB190" s="156"/>
      <c r="AC190" s="156" t="s">
        <v>2004</v>
      </c>
      <c r="AD190" s="156" t="s">
        <v>2314</v>
      </c>
      <c r="AE190" s="156" t="s">
        <v>3293</v>
      </c>
      <c r="AF190" s="158" t="s">
        <v>3294</v>
      </c>
      <c r="AG190" s="156"/>
      <c r="AH190" s="158"/>
      <c r="AI190" s="158"/>
      <c r="AJ190" s="158"/>
      <c r="AK190" s="158"/>
      <c r="AL190" s="158"/>
      <c r="AM190" s="158"/>
      <c r="AN190" s="158"/>
      <c r="AO190" s="158"/>
      <c r="AP190" s="158"/>
      <c r="AQ190" s="158"/>
      <c r="AR190" s="158"/>
      <c r="AS190" s="158"/>
      <c r="AT190" s="158"/>
      <c r="AU190" s="158"/>
    </row>
    <row r="191" spans="3:47" s="1" customFormat="1" x14ac:dyDescent="0.25">
      <c r="C191" s="155">
        <v>187</v>
      </c>
      <c r="D191" s="156" t="s">
        <v>828</v>
      </c>
      <c r="E191" s="156" t="s">
        <v>1307</v>
      </c>
      <c r="F191" s="156" t="s">
        <v>3295</v>
      </c>
      <c r="G191" s="156" t="s">
        <v>551</v>
      </c>
      <c r="H191" s="156"/>
      <c r="I191" s="157" t="s">
        <v>3296</v>
      </c>
      <c r="J191" s="156" t="b">
        <v>1</v>
      </c>
      <c r="K191" s="156" t="b">
        <v>0</v>
      </c>
      <c r="L191" s="156" t="b">
        <v>0</v>
      </c>
      <c r="M191" s="156" t="b">
        <v>0</v>
      </c>
      <c r="N191" s="156"/>
      <c r="O191" s="156" t="s">
        <v>479</v>
      </c>
      <c r="P191" s="156" t="s">
        <v>67</v>
      </c>
      <c r="Q191" s="156" t="s">
        <v>547</v>
      </c>
      <c r="R191" s="156" t="s">
        <v>3297</v>
      </c>
      <c r="S191" s="157" t="s">
        <v>3298</v>
      </c>
      <c r="T191" s="157" t="s">
        <v>3055</v>
      </c>
      <c r="U191" s="157" t="s">
        <v>653</v>
      </c>
      <c r="V191" s="157" t="s">
        <v>3298</v>
      </c>
      <c r="W191" s="157" t="s">
        <v>3055</v>
      </c>
      <c r="X191" s="156" t="b">
        <v>0</v>
      </c>
      <c r="Y191" s="156" t="b">
        <v>0</v>
      </c>
      <c r="Z191" s="156" t="b">
        <v>0</v>
      </c>
      <c r="AA191" s="156" t="b">
        <v>0</v>
      </c>
      <c r="AB191" s="156"/>
      <c r="AC191" s="156" t="s">
        <v>3299</v>
      </c>
      <c r="AD191" s="156" t="s">
        <v>3300</v>
      </c>
      <c r="AE191" s="156" t="s">
        <v>3301</v>
      </c>
      <c r="AF191" s="158" t="s">
        <v>1672</v>
      </c>
      <c r="AG191" s="156"/>
      <c r="AH191" s="158"/>
      <c r="AI191" s="158"/>
      <c r="AJ191" s="158"/>
      <c r="AK191" s="158"/>
      <c r="AL191" s="158"/>
      <c r="AM191" s="158"/>
      <c r="AN191" s="158"/>
      <c r="AO191" s="158"/>
      <c r="AP191" s="158"/>
      <c r="AQ191" s="158"/>
      <c r="AR191" s="158"/>
      <c r="AS191" s="158"/>
      <c r="AT191" s="158"/>
      <c r="AU191" s="158"/>
    </row>
    <row r="192" spans="3:47" s="1" customFormat="1" x14ac:dyDescent="0.25">
      <c r="C192" s="155">
        <v>188</v>
      </c>
      <c r="D192" s="156" t="s">
        <v>828</v>
      </c>
      <c r="E192" s="156" t="s">
        <v>1307</v>
      </c>
      <c r="F192" s="156" t="s">
        <v>2352</v>
      </c>
      <c r="G192" s="156" t="s">
        <v>551</v>
      </c>
      <c r="H192" s="156" t="s">
        <v>3148</v>
      </c>
      <c r="I192" s="157" t="s">
        <v>3302</v>
      </c>
      <c r="J192" s="156" t="b">
        <v>1</v>
      </c>
      <c r="K192" s="156" t="b">
        <v>0</v>
      </c>
      <c r="L192" s="156" t="b">
        <v>0</v>
      </c>
      <c r="M192" s="156" t="b">
        <v>0</v>
      </c>
      <c r="N192" s="156"/>
      <c r="O192" s="156" t="s">
        <v>2162</v>
      </c>
      <c r="P192" s="156" t="s">
        <v>67</v>
      </c>
      <c r="Q192" s="156" t="s">
        <v>547</v>
      </c>
      <c r="R192" s="156" t="s">
        <v>3222</v>
      </c>
      <c r="S192" s="157" t="s">
        <v>3303</v>
      </c>
      <c r="T192" s="157" t="s">
        <v>3304</v>
      </c>
      <c r="U192" s="157" t="s">
        <v>552</v>
      </c>
      <c r="V192" s="157" t="s">
        <v>3303</v>
      </c>
      <c r="W192" s="157" t="s">
        <v>3304</v>
      </c>
      <c r="X192" s="156" t="b">
        <v>0</v>
      </c>
      <c r="Y192" s="156" t="b">
        <v>0</v>
      </c>
      <c r="Z192" s="156" t="b">
        <v>0</v>
      </c>
      <c r="AA192" s="156" t="b">
        <v>0</v>
      </c>
      <c r="AB192" s="156"/>
      <c r="AC192" s="156" t="s">
        <v>2004</v>
      </c>
      <c r="AD192" s="156" t="s">
        <v>2314</v>
      </c>
      <c r="AE192" s="156" t="s">
        <v>3305</v>
      </c>
      <c r="AF192" s="158" t="s">
        <v>2422</v>
      </c>
      <c r="AG192" s="156"/>
      <c r="AH192" s="158"/>
      <c r="AI192" s="158"/>
      <c r="AJ192" s="158"/>
      <c r="AK192" s="158"/>
      <c r="AL192" s="158"/>
      <c r="AM192" s="158"/>
      <c r="AN192" s="158"/>
      <c r="AO192" s="158"/>
      <c r="AP192" s="158"/>
      <c r="AQ192" s="158"/>
      <c r="AR192" s="158"/>
      <c r="AS192" s="158"/>
      <c r="AT192" s="158"/>
      <c r="AU192" s="158"/>
    </row>
    <row r="193" spans="3:47" s="1" customFormat="1" x14ac:dyDescent="0.25">
      <c r="C193" s="155">
        <v>189</v>
      </c>
      <c r="D193" s="156" t="s">
        <v>828</v>
      </c>
      <c r="E193" s="156" t="s">
        <v>1307</v>
      </c>
      <c r="F193" s="156" t="s">
        <v>126</v>
      </c>
      <c r="G193" s="156" t="s">
        <v>551</v>
      </c>
      <c r="H193" s="156" t="s">
        <v>3306</v>
      </c>
      <c r="I193" s="157" t="s">
        <v>3307</v>
      </c>
      <c r="J193" s="156" t="b">
        <v>1</v>
      </c>
      <c r="K193" s="156" t="b">
        <v>0</v>
      </c>
      <c r="L193" s="156" t="b">
        <v>0</v>
      </c>
      <c r="M193" s="156" t="b">
        <v>0</v>
      </c>
      <c r="N193" s="156"/>
      <c r="O193" s="156" t="s">
        <v>1827</v>
      </c>
      <c r="P193" s="156" t="s">
        <v>67</v>
      </c>
      <c r="Q193" s="156" t="s">
        <v>547</v>
      </c>
      <c r="R193" s="156" t="s">
        <v>3308</v>
      </c>
      <c r="S193" s="157" t="s">
        <v>3309</v>
      </c>
      <c r="T193" s="157" t="s">
        <v>3310</v>
      </c>
      <c r="U193" s="157" t="s">
        <v>653</v>
      </c>
      <c r="V193" s="157" t="s">
        <v>3309</v>
      </c>
      <c r="W193" s="157" t="s">
        <v>3310</v>
      </c>
      <c r="X193" s="156" t="b">
        <v>0</v>
      </c>
      <c r="Y193" s="156" t="b">
        <v>0</v>
      </c>
      <c r="Z193" s="156" t="b">
        <v>0</v>
      </c>
      <c r="AA193" s="156" t="b">
        <v>0</v>
      </c>
      <c r="AB193" s="156"/>
      <c r="AC193" s="156" t="s">
        <v>562</v>
      </c>
      <c r="AD193" s="156" t="s">
        <v>2342</v>
      </c>
      <c r="AE193" s="156" t="s">
        <v>3311</v>
      </c>
      <c r="AF193" s="158" t="s">
        <v>284</v>
      </c>
      <c r="AG193" s="156"/>
      <c r="AH193" s="158"/>
      <c r="AI193" s="158"/>
      <c r="AJ193" s="158"/>
      <c r="AK193" s="158"/>
      <c r="AL193" s="158"/>
      <c r="AM193" s="158"/>
      <c r="AN193" s="158"/>
      <c r="AO193" s="158"/>
      <c r="AP193" s="158"/>
      <c r="AQ193" s="158"/>
      <c r="AR193" s="158"/>
      <c r="AS193" s="158"/>
      <c r="AT193" s="158"/>
      <c r="AU193" s="158"/>
    </row>
    <row r="194" spans="3:47" s="1" customFormat="1" x14ac:dyDescent="0.25">
      <c r="C194" s="155">
        <v>190</v>
      </c>
      <c r="D194" s="156" t="s">
        <v>828</v>
      </c>
      <c r="E194" s="156" t="s">
        <v>1307</v>
      </c>
      <c r="F194" s="156" t="s">
        <v>2364</v>
      </c>
      <c r="G194" s="156" t="s">
        <v>551</v>
      </c>
      <c r="H194" s="156" t="s">
        <v>3033</v>
      </c>
      <c r="I194" s="157" t="s">
        <v>3312</v>
      </c>
      <c r="J194" s="156" t="b">
        <v>1</v>
      </c>
      <c r="K194" s="156" t="b">
        <v>0</v>
      </c>
      <c r="L194" s="156" t="b">
        <v>0</v>
      </c>
      <c r="M194" s="156" t="b">
        <v>0</v>
      </c>
      <c r="N194" s="156"/>
      <c r="O194" s="156"/>
      <c r="P194" s="156" t="s">
        <v>67</v>
      </c>
      <c r="Q194" s="156" t="s">
        <v>547</v>
      </c>
      <c r="R194" s="156" t="s">
        <v>3313</v>
      </c>
      <c r="S194" s="157" t="s">
        <v>3314</v>
      </c>
      <c r="T194" s="157" t="s">
        <v>578</v>
      </c>
      <c r="U194" s="157" t="s">
        <v>653</v>
      </c>
      <c r="V194" s="157" t="s">
        <v>3314</v>
      </c>
      <c r="W194" s="157" t="s">
        <v>578</v>
      </c>
      <c r="X194" s="156" t="b">
        <v>0</v>
      </c>
      <c r="Y194" s="156" t="b">
        <v>0</v>
      </c>
      <c r="Z194" s="156" t="b">
        <v>0</v>
      </c>
      <c r="AA194" s="156" t="b">
        <v>0</v>
      </c>
      <c r="AB194" s="156"/>
      <c r="AC194" s="156" t="s">
        <v>3228</v>
      </c>
      <c r="AD194" s="156" t="s">
        <v>2342</v>
      </c>
      <c r="AE194" s="156" t="s">
        <v>3315</v>
      </c>
      <c r="AF194" s="158" t="s">
        <v>3316</v>
      </c>
      <c r="AG194" s="156"/>
      <c r="AH194" s="158"/>
      <c r="AI194" s="158"/>
      <c r="AJ194" s="158"/>
      <c r="AK194" s="158"/>
      <c r="AL194" s="158"/>
      <c r="AM194" s="158"/>
      <c r="AN194" s="158"/>
      <c r="AO194" s="158"/>
      <c r="AP194" s="158"/>
      <c r="AQ194" s="158"/>
      <c r="AR194" s="158"/>
      <c r="AS194" s="158"/>
      <c r="AT194" s="158"/>
      <c r="AU194" s="158"/>
    </row>
    <row r="195" spans="3:47" s="1" customFormat="1" x14ac:dyDescent="0.25">
      <c r="C195" s="155">
        <v>191</v>
      </c>
      <c r="D195" s="156" t="s">
        <v>828</v>
      </c>
      <c r="E195" s="156" t="s">
        <v>1307</v>
      </c>
      <c r="F195" s="156" t="s">
        <v>2360</v>
      </c>
      <c r="G195" s="156" t="s">
        <v>551</v>
      </c>
      <c r="H195" s="156" t="s">
        <v>3317</v>
      </c>
      <c r="I195" s="157" t="s">
        <v>427</v>
      </c>
      <c r="J195" s="156" t="b">
        <v>1</v>
      </c>
      <c r="K195" s="156" t="b">
        <v>0</v>
      </c>
      <c r="L195" s="156" t="b">
        <v>0</v>
      </c>
      <c r="M195" s="156" t="b">
        <v>0</v>
      </c>
      <c r="N195" s="156"/>
      <c r="O195" s="156" t="s">
        <v>1146</v>
      </c>
      <c r="P195" s="156" t="s">
        <v>67</v>
      </c>
      <c r="Q195" s="156" t="s">
        <v>547</v>
      </c>
      <c r="R195" s="156" t="s">
        <v>2427</v>
      </c>
      <c r="S195" s="157" t="s">
        <v>3318</v>
      </c>
      <c r="T195" s="157" t="s">
        <v>3024</v>
      </c>
      <c r="U195" s="157" t="s">
        <v>653</v>
      </c>
      <c r="V195" s="157" t="s">
        <v>3318</v>
      </c>
      <c r="W195" s="157" t="s">
        <v>3024</v>
      </c>
      <c r="X195" s="156" t="b">
        <v>0</v>
      </c>
      <c r="Y195" s="156" t="b">
        <v>0</v>
      </c>
      <c r="Z195" s="156" t="b">
        <v>0</v>
      </c>
      <c r="AA195" s="156" t="b">
        <v>0</v>
      </c>
      <c r="AB195" s="156"/>
      <c r="AC195" s="156" t="s">
        <v>3319</v>
      </c>
      <c r="AD195" s="156" t="s">
        <v>2347</v>
      </c>
      <c r="AE195" s="156" t="s">
        <v>3320</v>
      </c>
      <c r="AF195" s="158" t="s">
        <v>1793</v>
      </c>
      <c r="AG195" s="156"/>
      <c r="AH195" s="158"/>
      <c r="AI195" s="158"/>
      <c r="AJ195" s="158"/>
      <c r="AK195" s="158"/>
      <c r="AL195" s="158"/>
      <c r="AM195" s="158"/>
      <c r="AN195" s="158"/>
      <c r="AO195" s="158"/>
      <c r="AP195" s="158"/>
      <c r="AQ195" s="158"/>
      <c r="AR195" s="158"/>
      <c r="AS195" s="158"/>
      <c r="AT195" s="158"/>
      <c r="AU195" s="158"/>
    </row>
    <row r="196" spans="3:47" s="1" customFormat="1" x14ac:dyDescent="0.25">
      <c r="C196" s="155">
        <v>192</v>
      </c>
      <c r="D196" s="156" t="s">
        <v>840</v>
      </c>
      <c r="E196" s="156" t="s">
        <v>1313</v>
      </c>
      <c r="F196" s="156" t="s">
        <v>2375</v>
      </c>
      <c r="G196" s="156" t="s">
        <v>551</v>
      </c>
      <c r="H196" s="156"/>
      <c r="I196" s="157" t="s">
        <v>2442</v>
      </c>
      <c r="J196" s="156" t="b">
        <v>1</v>
      </c>
      <c r="K196" s="156" t="b">
        <v>0</v>
      </c>
      <c r="L196" s="156" t="b">
        <v>0</v>
      </c>
      <c r="M196" s="156" t="b">
        <v>0</v>
      </c>
      <c r="N196" s="156"/>
      <c r="O196" s="156"/>
      <c r="P196" s="156" t="s">
        <v>2424</v>
      </c>
      <c r="Q196" s="156" t="s">
        <v>547</v>
      </c>
      <c r="R196" s="156" t="s">
        <v>3321</v>
      </c>
      <c r="S196" s="157" t="s">
        <v>3322</v>
      </c>
      <c r="T196" s="157" t="s">
        <v>3323</v>
      </c>
      <c r="U196" s="157" t="s">
        <v>653</v>
      </c>
      <c r="V196" s="157" t="s">
        <v>3322</v>
      </c>
      <c r="W196" s="157" t="s">
        <v>3323</v>
      </c>
      <c r="X196" s="156" t="b">
        <v>0</v>
      </c>
      <c r="Y196" s="156" t="b">
        <v>0</v>
      </c>
      <c r="Z196" s="156" t="b">
        <v>0</v>
      </c>
      <c r="AA196" s="156" t="b">
        <v>0</v>
      </c>
      <c r="AB196" s="156"/>
      <c r="AC196" s="156" t="s">
        <v>3324</v>
      </c>
      <c r="AD196" s="156" t="s">
        <v>3325</v>
      </c>
      <c r="AE196" s="156" t="s">
        <v>3326</v>
      </c>
      <c r="AF196" s="158" t="s">
        <v>3327</v>
      </c>
      <c r="AG196" s="156"/>
      <c r="AH196" s="158"/>
      <c r="AI196" s="158"/>
      <c r="AJ196" s="158"/>
      <c r="AK196" s="158"/>
      <c r="AL196" s="158"/>
      <c r="AM196" s="158"/>
      <c r="AN196" s="158"/>
      <c r="AO196" s="158"/>
      <c r="AP196" s="158"/>
      <c r="AQ196" s="158"/>
      <c r="AR196" s="158"/>
      <c r="AS196" s="158"/>
      <c r="AT196" s="158"/>
      <c r="AU196" s="158"/>
    </row>
    <row r="197" spans="3:47" s="1" customFormat="1" x14ac:dyDescent="0.25">
      <c r="C197" s="155">
        <v>193</v>
      </c>
      <c r="D197" s="156" t="s">
        <v>3328</v>
      </c>
      <c r="E197" s="156" t="s">
        <v>1040</v>
      </c>
      <c r="F197" s="156" t="s">
        <v>2355</v>
      </c>
      <c r="G197" s="156" t="s">
        <v>551</v>
      </c>
      <c r="H197" s="156" t="s">
        <v>3329</v>
      </c>
      <c r="I197" s="157" t="s">
        <v>651</v>
      </c>
      <c r="J197" s="156" t="b">
        <v>1</v>
      </c>
      <c r="K197" s="156" t="b">
        <v>0</v>
      </c>
      <c r="L197" s="156" t="b">
        <v>0</v>
      </c>
      <c r="M197" s="156" t="b">
        <v>0</v>
      </c>
      <c r="N197" s="156"/>
      <c r="O197" s="156"/>
      <c r="P197" s="156" t="s">
        <v>2424</v>
      </c>
      <c r="Q197" s="156"/>
      <c r="R197" s="156" t="s">
        <v>3330</v>
      </c>
      <c r="S197" s="157" t="s">
        <v>3331</v>
      </c>
      <c r="T197" s="157" t="s">
        <v>3332</v>
      </c>
      <c r="U197" s="157" t="s">
        <v>655</v>
      </c>
      <c r="V197" s="157" t="s">
        <v>3331</v>
      </c>
      <c r="W197" s="157" t="s">
        <v>3332</v>
      </c>
      <c r="X197" s="156" t="b">
        <v>0</v>
      </c>
      <c r="Y197" s="156" t="b">
        <v>0</v>
      </c>
      <c r="Z197" s="156" t="b">
        <v>0</v>
      </c>
      <c r="AA197" s="156" t="b">
        <v>0</v>
      </c>
      <c r="AB197" s="156"/>
      <c r="AC197" s="156" t="s">
        <v>791</v>
      </c>
      <c r="AD197" s="156" t="s">
        <v>2342</v>
      </c>
      <c r="AE197" s="156" t="s">
        <v>3333</v>
      </c>
      <c r="AF197" s="158" t="s">
        <v>3334</v>
      </c>
      <c r="AG197" s="156"/>
      <c r="AH197" s="158"/>
      <c r="AI197" s="158"/>
      <c r="AJ197" s="158"/>
      <c r="AK197" s="158"/>
      <c r="AL197" s="158"/>
      <c r="AM197" s="158"/>
      <c r="AN197" s="158"/>
      <c r="AO197" s="158"/>
      <c r="AP197" s="158"/>
      <c r="AQ197" s="158"/>
      <c r="AR197" s="158"/>
      <c r="AS197" s="158"/>
      <c r="AT197" s="158"/>
      <c r="AU197" s="158"/>
    </row>
    <row r="198" spans="3:47" s="1" customFormat="1" x14ac:dyDescent="0.25">
      <c r="C198" s="155">
        <v>194</v>
      </c>
      <c r="D198" s="156" t="s">
        <v>3335</v>
      </c>
      <c r="E198" s="156" t="s">
        <v>3336</v>
      </c>
      <c r="F198" s="156" t="s">
        <v>2375</v>
      </c>
      <c r="G198" s="156" t="s">
        <v>551</v>
      </c>
      <c r="H198" s="156" t="s">
        <v>3337</v>
      </c>
      <c r="I198" s="157" t="s">
        <v>3338</v>
      </c>
      <c r="J198" s="156" t="b">
        <v>1</v>
      </c>
      <c r="K198" s="156" t="b">
        <v>0</v>
      </c>
      <c r="L198" s="156" t="b">
        <v>0</v>
      </c>
      <c r="M198" s="156" t="b">
        <v>0</v>
      </c>
      <c r="N198" s="156"/>
      <c r="O198" s="156" t="s">
        <v>3339</v>
      </c>
      <c r="P198" s="156" t="s">
        <v>3340</v>
      </c>
      <c r="Q198" s="156" t="s">
        <v>547</v>
      </c>
      <c r="R198" s="156" t="s">
        <v>3341</v>
      </c>
      <c r="S198" s="157" t="s">
        <v>3342</v>
      </c>
      <c r="T198" s="157" t="s">
        <v>3343</v>
      </c>
      <c r="U198" s="157" t="s">
        <v>656</v>
      </c>
      <c r="V198" s="157" t="s">
        <v>3342</v>
      </c>
      <c r="W198" s="157" t="s">
        <v>3343</v>
      </c>
      <c r="X198" s="156" t="b">
        <v>0</v>
      </c>
      <c r="Y198" s="156" t="b">
        <v>0</v>
      </c>
      <c r="Z198" s="156" t="b">
        <v>0</v>
      </c>
      <c r="AA198" s="156" t="b">
        <v>0</v>
      </c>
      <c r="AB198" s="156"/>
      <c r="AC198" s="156" t="s">
        <v>3219</v>
      </c>
      <c r="AD198" s="156" t="s">
        <v>2346</v>
      </c>
      <c r="AE198" s="156" t="s">
        <v>3344</v>
      </c>
      <c r="AF198" s="158" t="s">
        <v>3345</v>
      </c>
      <c r="AG198" s="156"/>
      <c r="AH198" s="158"/>
      <c r="AI198" s="158"/>
      <c r="AJ198" s="158"/>
      <c r="AK198" s="158"/>
      <c r="AL198" s="158"/>
      <c r="AM198" s="158"/>
      <c r="AN198" s="158"/>
      <c r="AO198" s="158"/>
      <c r="AP198" s="158"/>
      <c r="AQ198" s="158"/>
      <c r="AR198" s="158"/>
      <c r="AS198" s="158"/>
      <c r="AT198" s="158"/>
      <c r="AU198" s="158"/>
    </row>
    <row r="199" spans="3:47" s="1" customFormat="1" x14ac:dyDescent="0.25">
      <c r="C199" s="155">
        <v>195</v>
      </c>
      <c r="D199" s="156" t="s">
        <v>934</v>
      </c>
      <c r="E199" s="156" t="s">
        <v>1037</v>
      </c>
      <c r="F199" s="156" t="s">
        <v>2375</v>
      </c>
      <c r="G199" s="156" t="s">
        <v>551</v>
      </c>
      <c r="H199" s="156" t="s">
        <v>3346</v>
      </c>
      <c r="I199" s="157" t="s">
        <v>3347</v>
      </c>
      <c r="J199" s="156" t="b">
        <v>1</v>
      </c>
      <c r="K199" s="156" t="b">
        <v>0</v>
      </c>
      <c r="L199" s="156" t="b">
        <v>0</v>
      </c>
      <c r="M199" s="156" t="b">
        <v>0</v>
      </c>
      <c r="N199" s="156"/>
      <c r="O199" s="156" t="s">
        <v>3348</v>
      </c>
      <c r="P199" s="156" t="s">
        <v>67</v>
      </c>
      <c r="Q199" s="156" t="s">
        <v>547</v>
      </c>
      <c r="R199" s="156" t="s">
        <v>3349</v>
      </c>
      <c r="S199" s="157" t="s">
        <v>3342</v>
      </c>
      <c r="T199" s="157" t="s">
        <v>3350</v>
      </c>
      <c r="U199" s="157" t="s">
        <v>656</v>
      </c>
      <c r="V199" s="157" t="s">
        <v>3342</v>
      </c>
      <c r="W199" s="157" t="s">
        <v>3350</v>
      </c>
      <c r="X199" s="156" t="b">
        <v>0</v>
      </c>
      <c r="Y199" s="156" t="b">
        <v>0</v>
      </c>
      <c r="Z199" s="156" t="b">
        <v>0</v>
      </c>
      <c r="AA199" s="156" t="b">
        <v>0</v>
      </c>
      <c r="AB199" s="156"/>
      <c r="AC199" s="156" t="s">
        <v>3219</v>
      </c>
      <c r="AD199" s="156" t="s">
        <v>2346</v>
      </c>
      <c r="AE199" s="156" t="s">
        <v>3335</v>
      </c>
      <c r="AF199" s="158" t="s">
        <v>3351</v>
      </c>
      <c r="AG199" s="156"/>
      <c r="AH199" s="158"/>
      <c r="AI199" s="158"/>
      <c r="AJ199" s="158"/>
      <c r="AK199" s="158"/>
      <c r="AL199" s="158"/>
      <c r="AM199" s="158"/>
      <c r="AN199" s="158"/>
      <c r="AO199" s="158"/>
      <c r="AP199" s="158"/>
      <c r="AQ199" s="158"/>
      <c r="AR199" s="158"/>
      <c r="AS199" s="158"/>
      <c r="AT199" s="158"/>
      <c r="AU199" s="158"/>
    </row>
    <row r="200" spans="3:47" s="1" customFormat="1" x14ac:dyDescent="0.25">
      <c r="C200" s="155">
        <v>196</v>
      </c>
      <c r="D200" s="156" t="s">
        <v>840</v>
      </c>
      <c r="E200" s="156" t="s">
        <v>1313</v>
      </c>
      <c r="F200" s="156" t="s">
        <v>3352</v>
      </c>
      <c r="G200" s="156" t="s">
        <v>551</v>
      </c>
      <c r="H200" s="156" t="s">
        <v>3007</v>
      </c>
      <c r="I200" s="157" t="s">
        <v>3353</v>
      </c>
      <c r="J200" s="156" t="b">
        <v>1</v>
      </c>
      <c r="K200" s="156" t="b">
        <v>0</v>
      </c>
      <c r="L200" s="156" t="b">
        <v>0</v>
      </c>
      <c r="M200" s="156" t="b">
        <v>0</v>
      </c>
      <c r="N200" s="156"/>
      <c r="O200" s="156"/>
      <c r="P200" s="156" t="s">
        <v>67</v>
      </c>
      <c r="Q200" s="156"/>
      <c r="R200" s="156" t="s">
        <v>3354</v>
      </c>
      <c r="S200" s="157" t="s">
        <v>3342</v>
      </c>
      <c r="T200" s="157" t="s">
        <v>3355</v>
      </c>
      <c r="U200" s="157" t="s">
        <v>654</v>
      </c>
      <c r="V200" s="157" t="s">
        <v>3342</v>
      </c>
      <c r="W200" s="157" t="s">
        <v>3355</v>
      </c>
      <c r="X200" s="156" t="b">
        <v>0</v>
      </c>
      <c r="Y200" s="156" t="b">
        <v>0</v>
      </c>
      <c r="Z200" s="156" t="b">
        <v>0</v>
      </c>
      <c r="AA200" s="156" t="b">
        <v>0</v>
      </c>
      <c r="AB200" s="156"/>
      <c r="AC200" s="156" t="s">
        <v>3356</v>
      </c>
      <c r="AD200" s="156" t="s">
        <v>2349</v>
      </c>
      <c r="AE200" s="156" t="s">
        <v>1149</v>
      </c>
      <c r="AF200" s="158" t="s">
        <v>651</v>
      </c>
      <c r="AG200" s="156"/>
      <c r="AH200" s="158"/>
      <c r="AI200" s="158"/>
      <c r="AJ200" s="158"/>
      <c r="AK200" s="158"/>
      <c r="AL200" s="158"/>
      <c r="AM200" s="158"/>
      <c r="AN200" s="158"/>
      <c r="AO200" s="158"/>
      <c r="AP200" s="158"/>
      <c r="AQ200" s="158"/>
      <c r="AR200" s="158"/>
      <c r="AS200" s="158"/>
      <c r="AT200" s="158"/>
      <c r="AU200" s="158"/>
    </row>
    <row r="201" spans="3:47" s="1" customFormat="1" x14ac:dyDescent="0.25">
      <c r="C201" s="155">
        <v>197</v>
      </c>
      <c r="D201" s="156" t="s">
        <v>730</v>
      </c>
      <c r="E201" s="156" t="s">
        <v>1122</v>
      </c>
      <c r="F201" s="156" t="s">
        <v>73</v>
      </c>
      <c r="G201" s="156" t="s">
        <v>551</v>
      </c>
      <c r="H201" s="156" t="s">
        <v>3357</v>
      </c>
      <c r="I201" s="157" t="s">
        <v>3358</v>
      </c>
      <c r="J201" s="156" t="b">
        <v>1</v>
      </c>
      <c r="K201" s="156" t="b">
        <v>0</v>
      </c>
      <c r="L201" s="156" t="b">
        <v>0</v>
      </c>
      <c r="M201" s="156" t="b">
        <v>0</v>
      </c>
      <c r="N201" s="156"/>
      <c r="O201" s="156" t="s">
        <v>479</v>
      </c>
      <c r="P201" s="156"/>
      <c r="Q201" s="156"/>
      <c r="R201" s="156" t="s">
        <v>3359</v>
      </c>
      <c r="S201" s="157" t="s">
        <v>3360</v>
      </c>
      <c r="T201" s="157" t="s">
        <v>3361</v>
      </c>
      <c r="U201" s="157" t="s">
        <v>700</v>
      </c>
      <c r="V201" s="157" t="s">
        <v>3360</v>
      </c>
      <c r="W201" s="157" t="s">
        <v>3361</v>
      </c>
      <c r="X201" s="156" t="b">
        <v>0</v>
      </c>
      <c r="Y201" s="156" t="b">
        <v>0</v>
      </c>
      <c r="Z201" s="156" t="b">
        <v>0</v>
      </c>
      <c r="AA201" s="156" t="b">
        <v>0</v>
      </c>
      <c r="AB201" s="156"/>
      <c r="AC201" s="156" t="s">
        <v>1369</v>
      </c>
      <c r="AD201" s="156" t="s">
        <v>2344</v>
      </c>
      <c r="AE201" s="156" t="s">
        <v>3362</v>
      </c>
      <c r="AF201" s="158" t="s">
        <v>1672</v>
      </c>
      <c r="AG201" s="156"/>
      <c r="AH201" s="158"/>
      <c r="AI201" s="158"/>
      <c r="AJ201" s="158"/>
      <c r="AK201" s="158"/>
      <c r="AL201" s="158"/>
      <c r="AM201" s="158"/>
      <c r="AN201" s="158"/>
      <c r="AO201" s="158"/>
      <c r="AP201" s="158"/>
      <c r="AQ201" s="158"/>
      <c r="AR201" s="158"/>
      <c r="AS201" s="158"/>
      <c r="AT201" s="158"/>
      <c r="AU201" s="158"/>
    </row>
    <row r="202" spans="3:47" s="1" customFormat="1" x14ac:dyDescent="0.25">
      <c r="C202" s="155">
        <v>198</v>
      </c>
      <c r="D202" s="156" t="s">
        <v>828</v>
      </c>
      <c r="E202" s="156" t="s">
        <v>1307</v>
      </c>
      <c r="F202" s="156" t="s">
        <v>2381</v>
      </c>
      <c r="G202" s="156" t="s">
        <v>551</v>
      </c>
      <c r="H202" s="156" t="s">
        <v>3363</v>
      </c>
      <c r="I202" s="157" t="s">
        <v>3364</v>
      </c>
      <c r="J202" s="156" t="b">
        <v>1</v>
      </c>
      <c r="K202" s="156" t="b">
        <v>0</v>
      </c>
      <c r="L202" s="156" t="b">
        <v>0</v>
      </c>
      <c r="M202" s="156" t="b">
        <v>0</v>
      </c>
      <c r="N202" s="156"/>
      <c r="O202" s="156" t="s">
        <v>3365</v>
      </c>
      <c r="P202" s="156" t="s">
        <v>67</v>
      </c>
      <c r="Q202" s="156" t="s">
        <v>547</v>
      </c>
      <c r="R202" s="156" t="s">
        <v>3366</v>
      </c>
      <c r="S202" s="157" t="s">
        <v>3367</v>
      </c>
      <c r="T202" s="157" t="s">
        <v>3368</v>
      </c>
      <c r="U202" s="157" t="s">
        <v>654</v>
      </c>
      <c r="V202" s="157" t="s">
        <v>3367</v>
      </c>
      <c r="W202" s="157" t="s">
        <v>3368</v>
      </c>
      <c r="X202" s="156" t="b">
        <v>0</v>
      </c>
      <c r="Y202" s="156" t="b">
        <v>0</v>
      </c>
      <c r="Z202" s="156" t="b">
        <v>0</v>
      </c>
      <c r="AA202" s="156" t="b">
        <v>0</v>
      </c>
      <c r="AB202" s="156"/>
      <c r="AC202" s="156" t="s">
        <v>3369</v>
      </c>
      <c r="AD202" s="156" t="s">
        <v>2342</v>
      </c>
      <c r="AE202" s="156" t="s">
        <v>3370</v>
      </c>
      <c r="AF202" s="158" t="s">
        <v>2202</v>
      </c>
      <c r="AG202" s="156"/>
      <c r="AH202" s="158"/>
      <c r="AI202" s="158"/>
      <c r="AJ202" s="158"/>
      <c r="AK202" s="158"/>
      <c r="AL202" s="158"/>
      <c r="AM202" s="158"/>
      <c r="AN202" s="158"/>
      <c r="AO202" s="158"/>
      <c r="AP202" s="158"/>
      <c r="AQ202" s="158"/>
      <c r="AR202" s="158"/>
      <c r="AS202" s="158"/>
      <c r="AT202" s="158"/>
      <c r="AU202" s="158"/>
    </row>
    <row r="203" spans="3:47" s="1" customFormat="1" x14ac:dyDescent="0.25">
      <c r="C203" s="155">
        <v>199</v>
      </c>
      <c r="D203" s="156" t="s">
        <v>730</v>
      </c>
      <c r="E203" s="156" t="s">
        <v>1122</v>
      </c>
      <c r="F203" s="156" t="s">
        <v>2355</v>
      </c>
      <c r="G203" s="156" t="s">
        <v>551</v>
      </c>
      <c r="H203" s="156" t="s">
        <v>3372</v>
      </c>
      <c r="I203" s="157" t="s">
        <v>3373</v>
      </c>
      <c r="J203" s="156" t="b">
        <v>1</v>
      </c>
      <c r="K203" s="156" t="b">
        <v>0</v>
      </c>
      <c r="L203" s="156" t="b">
        <v>0</v>
      </c>
      <c r="M203" s="156" t="b">
        <v>0</v>
      </c>
      <c r="N203" s="156"/>
      <c r="O203" s="156"/>
      <c r="P203" s="156" t="s">
        <v>67</v>
      </c>
      <c r="Q203" s="156" t="s">
        <v>547</v>
      </c>
      <c r="R203" s="156" t="s">
        <v>3374</v>
      </c>
      <c r="S203" s="157" t="s">
        <v>3375</v>
      </c>
      <c r="T203" s="157" t="s">
        <v>3376</v>
      </c>
      <c r="U203" s="157" t="s">
        <v>653</v>
      </c>
      <c r="V203" s="157" t="s">
        <v>3375</v>
      </c>
      <c r="W203" s="157" t="s">
        <v>3376</v>
      </c>
      <c r="X203" s="156" t="b">
        <v>0</v>
      </c>
      <c r="Y203" s="156" t="b">
        <v>0</v>
      </c>
      <c r="Z203" s="156" t="b">
        <v>0</v>
      </c>
      <c r="AA203" s="156" t="b">
        <v>0</v>
      </c>
      <c r="AB203" s="156"/>
      <c r="AC203" s="156" t="s">
        <v>651</v>
      </c>
      <c r="AD203" s="156" t="s">
        <v>2342</v>
      </c>
      <c r="AE203" s="156" t="s">
        <v>3377</v>
      </c>
      <c r="AF203" s="158" t="s">
        <v>3378</v>
      </c>
      <c r="AG203" s="156"/>
      <c r="AH203" s="158"/>
      <c r="AI203" s="158"/>
      <c r="AJ203" s="158"/>
      <c r="AK203" s="158"/>
      <c r="AL203" s="158"/>
      <c r="AM203" s="158"/>
      <c r="AN203" s="158"/>
      <c r="AO203" s="158"/>
      <c r="AP203" s="158"/>
      <c r="AQ203" s="158"/>
      <c r="AR203" s="158"/>
      <c r="AS203" s="158"/>
      <c r="AT203" s="158"/>
      <c r="AU203" s="158"/>
    </row>
    <row r="204" spans="3:47" s="1" customFormat="1" x14ac:dyDescent="0.25">
      <c r="C204" s="155">
        <v>200</v>
      </c>
      <c r="D204" s="156" t="s">
        <v>828</v>
      </c>
      <c r="E204" s="156" t="s">
        <v>1307</v>
      </c>
      <c r="F204" s="156" t="s">
        <v>2419</v>
      </c>
      <c r="G204" s="156" t="s">
        <v>551</v>
      </c>
      <c r="H204" s="156" t="s">
        <v>3379</v>
      </c>
      <c r="I204" s="157" t="s">
        <v>3380</v>
      </c>
      <c r="J204" s="156" t="b">
        <v>1</v>
      </c>
      <c r="K204" s="156" t="b">
        <v>0</v>
      </c>
      <c r="L204" s="156" t="b">
        <v>0</v>
      </c>
      <c r="M204" s="156" t="b">
        <v>0</v>
      </c>
      <c r="N204" s="156"/>
      <c r="O204" s="156"/>
      <c r="P204" s="156" t="s">
        <v>2424</v>
      </c>
      <c r="Q204" s="156" t="s">
        <v>547</v>
      </c>
      <c r="R204" s="156" t="s">
        <v>3381</v>
      </c>
      <c r="S204" s="157" t="s">
        <v>3382</v>
      </c>
      <c r="T204" s="157" t="s">
        <v>3383</v>
      </c>
      <c r="U204" s="157" t="s">
        <v>655</v>
      </c>
      <c r="V204" s="157" t="s">
        <v>3382</v>
      </c>
      <c r="W204" s="157" t="s">
        <v>3383</v>
      </c>
      <c r="X204" s="156" t="b">
        <v>0</v>
      </c>
      <c r="Y204" s="156" t="b">
        <v>0</v>
      </c>
      <c r="Z204" s="156" t="b">
        <v>0</v>
      </c>
      <c r="AA204" s="156" t="b">
        <v>0</v>
      </c>
      <c r="AB204" s="156"/>
      <c r="AC204" s="156" t="s">
        <v>1296</v>
      </c>
      <c r="AD204" s="156" t="s">
        <v>2539</v>
      </c>
      <c r="AE204" s="156" t="s">
        <v>1209</v>
      </c>
      <c r="AF204" s="158" t="s">
        <v>3384</v>
      </c>
      <c r="AG204" s="156"/>
      <c r="AH204" s="158"/>
      <c r="AI204" s="158"/>
      <c r="AJ204" s="158"/>
      <c r="AK204" s="158"/>
      <c r="AL204" s="158"/>
      <c r="AM204" s="158"/>
      <c r="AN204" s="158"/>
      <c r="AO204" s="158"/>
      <c r="AP204" s="158"/>
      <c r="AQ204" s="158"/>
      <c r="AR204" s="158"/>
      <c r="AS204" s="158"/>
      <c r="AT204" s="158"/>
      <c r="AU204" s="158"/>
    </row>
    <row r="205" spans="3:47" s="1" customFormat="1" x14ac:dyDescent="0.25">
      <c r="C205" s="155">
        <v>201</v>
      </c>
      <c r="D205" s="156" t="s">
        <v>828</v>
      </c>
      <c r="E205" s="156" t="s">
        <v>1307</v>
      </c>
      <c r="F205" s="156" t="s">
        <v>2363</v>
      </c>
      <c r="G205" s="156" t="s">
        <v>551</v>
      </c>
      <c r="H205" s="156" t="s">
        <v>3385</v>
      </c>
      <c r="I205" s="157" t="s">
        <v>3386</v>
      </c>
      <c r="J205" s="156" t="b">
        <v>1</v>
      </c>
      <c r="K205" s="156" t="b">
        <v>0</v>
      </c>
      <c r="L205" s="156" t="b">
        <v>0</v>
      </c>
      <c r="M205" s="156" t="b">
        <v>0</v>
      </c>
      <c r="N205" s="156"/>
      <c r="O205" s="156"/>
      <c r="P205" s="156" t="s">
        <v>67</v>
      </c>
      <c r="Q205" s="156" t="s">
        <v>547</v>
      </c>
      <c r="R205" s="156" t="s">
        <v>3387</v>
      </c>
      <c r="S205" s="157" t="s">
        <v>3388</v>
      </c>
      <c r="T205" s="157" t="s">
        <v>937</v>
      </c>
      <c r="U205" s="157" t="s">
        <v>655</v>
      </c>
      <c r="V205" s="157" t="s">
        <v>3388</v>
      </c>
      <c r="W205" s="157" t="s">
        <v>937</v>
      </c>
      <c r="X205" s="156" t="b">
        <v>0</v>
      </c>
      <c r="Y205" s="156" t="b">
        <v>0</v>
      </c>
      <c r="Z205" s="156" t="b">
        <v>0</v>
      </c>
      <c r="AA205" s="156" t="b">
        <v>0</v>
      </c>
      <c r="AB205" s="156"/>
      <c r="AC205" s="156" t="s">
        <v>3179</v>
      </c>
      <c r="AD205" s="156" t="s">
        <v>2342</v>
      </c>
      <c r="AE205" s="156" t="s">
        <v>3389</v>
      </c>
      <c r="AF205" s="158" t="s">
        <v>3390</v>
      </c>
      <c r="AG205" s="156"/>
      <c r="AH205" s="158"/>
      <c r="AI205" s="158"/>
      <c r="AJ205" s="158"/>
      <c r="AK205" s="158"/>
      <c r="AL205" s="158"/>
      <c r="AM205" s="158"/>
      <c r="AN205" s="158"/>
      <c r="AO205" s="158"/>
      <c r="AP205" s="158"/>
      <c r="AQ205" s="158"/>
      <c r="AR205" s="158"/>
      <c r="AS205" s="158"/>
      <c r="AT205" s="158"/>
      <c r="AU205" s="158"/>
    </row>
    <row r="206" spans="3:47" s="1" customFormat="1" x14ac:dyDescent="0.25">
      <c r="C206" s="155">
        <v>202</v>
      </c>
      <c r="D206" s="156" t="s">
        <v>828</v>
      </c>
      <c r="E206" s="156" t="s">
        <v>1307</v>
      </c>
      <c r="F206" s="156" t="s">
        <v>126</v>
      </c>
      <c r="G206" s="156" t="s">
        <v>551</v>
      </c>
      <c r="H206" s="156"/>
      <c r="I206" s="157" t="s">
        <v>3391</v>
      </c>
      <c r="J206" s="156" t="b">
        <v>1</v>
      </c>
      <c r="K206" s="156" t="b">
        <v>0</v>
      </c>
      <c r="L206" s="156" t="b">
        <v>0</v>
      </c>
      <c r="M206" s="156" t="b">
        <v>0</v>
      </c>
      <c r="N206" s="156"/>
      <c r="O206" s="156" t="s">
        <v>1827</v>
      </c>
      <c r="P206" s="156" t="s">
        <v>67</v>
      </c>
      <c r="Q206" s="156" t="s">
        <v>547</v>
      </c>
      <c r="R206" s="156" t="s">
        <v>3392</v>
      </c>
      <c r="S206" s="157" t="s">
        <v>3393</v>
      </c>
      <c r="T206" s="157" t="s">
        <v>3394</v>
      </c>
      <c r="U206" s="157" t="s">
        <v>653</v>
      </c>
      <c r="V206" s="157" t="s">
        <v>3393</v>
      </c>
      <c r="W206" s="157" t="s">
        <v>3394</v>
      </c>
      <c r="X206" s="156" t="b">
        <v>0</v>
      </c>
      <c r="Y206" s="156" t="b">
        <v>0</v>
      </c>
      <c r="Z206" s="156" t="b">
        <v>0</v>
      </c>
      <c r="AA206" s="156" t="b">
        <v>0</v>
      </c>
      <c r="AB206" s="156"/>
      <c r="AC206" s="156" t="s">
        <v>927</v>
      </c>
      <c r="AD206" s="156" t="s">
        <v>2342</v>
      </c>
      <c r="AE206" s="156" t="s">
        <v>3395</v>
      </c>
      <c r="AF206" s="158" t="s">
        <v>284</v>
      </c>
      <c r="AG206" s="156"/>
      <c r="AH206" s="158"/>
      <c r="AI206" s="158"/>
      <c r="AJ206" s="158"/>
      <c r="AK206" s="158"/>
      <c r="AL206" s="158"/>
      <c r="AM206" s="158"/>
      <c r="AN206" s="158"/>
      <c r="AO206" s="158"/>
      <c r="AP206" s="158"/>
      <c r="AQ206" s="158"/>
      <c r="AR206" s="158"/>
      <c r="AS206" s="158"/>
      <c r="AT206" s="158"/>
      <c r="AU206" s="158"/>
    </row>
    <row r="207" spans="3:47" s="1" customFormat="1" x14ac:dyDescent="0.25">
      <c r="C207" s="155">
        <v>203</v>
      </c>
      <c r="D207" s="156"/>
      <c r="E207" s="156"/>
      <c r="F207" s="156"/>
      <c r="G207" s="156"/>
      <c r="H207" s="156"/>
      <c r="I207" s="157" t="s">
        <v>651</v>
      </c>
      <c r="J207" s="156" t="b">
        <v>0</v>
      </c>
      <c r="K207" s="156" t="b">
        <v>0</v>
      </c>
      <c r="L207" s="156" t="b">
        <v>0</v>
      </c>
      <c r="M207" s="156" t="b">
        <v>0</v>
      </c>
      <c r="N207" s="156"/>
      <c r="O207" s="156"/>
      <c r="P207" s="156"/>
      <c r="Q207" s="156"/>
      <c r="R207" s="156"/>
      <c r="S207" s="157" t="s">
        <v>3428</v>
      </c>
      <c r="T207" s="157" t="s">
        <v>3239</v>
      </c>
      <c r="U207" s="157" t="s">
        <v>651</v>
      </c>
      <c r="V207" s="157" t="s">
        <v>3428</v>
      </c>
      <c r="W207" s="157" t="s">
        <v>3239</v>
      </c>
      <c r="X207" s="156" t="b">
        <v>0</v>
      </c>
      <c r="Y207" s="156" t="b">
        <v>0</v>
      </c>
      <c r="Z207" s="156" t="b">
        <v>0</v>
      </c>
      <c r="AA207" s="156" t="b">
        <v>0</v>
      </c>
      <c r="AB207" s="156"/>
      <c r="AC207" s="156" t="s">
        <v>651</v>
      </c>
      <c r="AD207" s="156" t="s">
        <v>651</v>
      </c>
      <c r="AE207" s="156" t="s">
        <v>651</v>
      </c>
      <c r="AF207" s="158" t="s">
        <v>651</v>
      </c>
      <c r="AG207" s="156"/>
      <c r="AH207" s="158"/>
      <c r="AI207" s="158"/>
      <c r="AJ207" s="158"/>
      <c r="AK207" s="158"/>
      <c r="AL207" s="158"/>
      <c r="AM207" s="158"/>
      <c r="AN207" s="158"/>
      <c r="AO207" s="158"/>
      <c r="AP207" s="158"/>
      <c r="AQ207" s="158"/>
      <c r="AR207" s="158"/>
      <c r="AS207" s="158"/>
      <c r="AT207" s="158"/>
      <c r="AU207" s="158"/>
    </row>
    <row r="208" spans="3:47" s="1" customFormat="1" x14ac:dyDescent="0.25">
      <c r="C208" s="78"/>
      <c r="D208" s="79"/>
      <c r="E208" s="79"/>
      <c r="F208" s="79"/>
      <c r="G208" s="79"/>
      <c r="H208" s="79"/>
      <c r="I208" s="80"/>
      <c r="J208" s="79"/>
      <c r="K208" s="79"/>
      <c r="L208" s="79"/>
      <c r="M208" s="79"/>
      <c r="N208" s="79"/>
      <c r="O208" s="79"/>
      <c r="P208" s="79"/>
      <c r="Q208" s="79"/>
      <c r="R208" s="79"/>
      <c r="S208" s="80"/>
      <c r="T208" s="80"/>
      <c r="U208" s="80"/>
      <c r="V208" s="80"/>
      <c r="W208" s="80"/>
      <c r="X208" s="79"/>
      <c r="Y208" s="79"/>
      <c r="Z208" s="79"/>
      <c r="AA208" s="79"/>
      <c r="AB208" s="79"/>
      <c r="AC208" s="79"/>
      <c r="AD208" s="79"/>
      <c r="AE208" s="79"/>
      <c r="AF208" s="81"/>
      <c r="AG208" s="79"/>
      <c r="AH208" s="81"/>
      <c r="AI208" s="81"/>
      <c r="AJ208" s="81"/>
      <c r="AK208" s="81"/>
      <c r="AL208" s="81"/>
      <c r="AM208" s="81"/>
      <c r="AN208" s="81"/>
      <c r="AO208" s="81"/>
      <c r="AP208" s="81"/>
      <c r="AQ208" s="81"/>
      <c r="AR208" s="81"/>
      <c r="AS208" s="81"/>
      <c r="AT208" s="81"/>
      <c r="AU208" s="81"/>
    </row>
    <row r="209" spans="3:47" s="1" customFormat="1" x14ac:dyDescent="0.25"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</row>
    <row r="210" spans="3:47" s="1" customFormat="1" x14ac:dyDescent="0.25"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</row>
  </sheetData>
  <sheetProtection selectLockedCells="1"/>
  <phoneticPr fontId="1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mdGoToDOrders">
          <controlPr defaultSize="0" autoLine="0" r:id="rId5">
            <anchor moveWithCells="1">
              <from>
                <xdr:col>3</xdr:col>
                <xdr:colOff>38100</xdr:colOff>
                <xdr:row>1</xdr:row>
                <xdr:rowOff>0</xdr:rowOff>
              </from>
              <to>
                <xdr:col>5</xdr:col>
                <xdr:colOff>259080</xdr:colOff>
                <xdr:row>2</xdr:row>
                <xdr:rowOff>137160</xdr:rowOff>
              </to>
            </anchor>
          </controlPr>
        </control>
      </mc:Choice>
      <mc:Fallback>
        <control shapeId="2051" r:id="rId4" name="cmdGoToDOrders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R217"/>
  <sheetViews>
    <sheetView zoomScale="80" zoomScaleNormal="80" workbookViewId="0">
      <selection activeCell="D38" sqref="D38"/>
    </sheetView>
  </sheetViews>
  <sheetFormatPr defaultRowHeight="13.2" x14ac:dyDescent="0.25"/>
  <cols>
    <col min="1" max="1" width="5.44140625" customWidth="1"/>
    <col min="2" max="2" width="47.44140625" customWidth="1"/>
    <col min="3" max="3" width="5.44140625" customWidth="1"/>
    <col min="4" max="4" width="47.44140625" customWidth="1"/>
    <col min="5" max="5" width="5.44140625" customWidth="1"/>
    <col min="6" max="6" width="47.44140625" customWidth="1"/>
    <col min="7" max="7" width="5.44140625" customWidth="1"/>
    <col min="8" max="8" width="47.44140625" customWidth="1"/>
    <col min="9" max="9" width="5.44140625" customWidth="1"/>
    <col min="10" max="10" width="47.44140625" customWidth="1"/>
    <col min="11" max="11" width="5.44140625" customWidth="1"/>
    <col min="12" max="12" width="47.44140625" customWidth="1"/>
    <col min="13" max="14" width="5.6640625" customWidth="1"/>
    <col min="18" max="18" width="16.44140625" customWidth="1"/>
    <col min="20" max="20" width="30.88671875" customWidth="1"/>
  </cols>
  <sheetData>
    <row r="1" spans="2:14" s="51" customFormat="1" x14ac:dyDescent="0.25"/>
    <row r="2" spans="2:14" s="51" customFormat="1" x14ac:dyDescent="0.25"/>
    <row r="3" spans="2:14" s="51" customFormat="1" x14ac:dyDescent="0.25"/>
    <row r="4" spans="2:14" s="52" customFormat="1" ht="13.8" thickBot="1" x14ac:dyDescent="0.3"/>
    <row r="5" spans="2:14" ht="14.4" thickTop="1" thickBot="1" x14ac:dyDescent="0.3"/>
    <row r="6" spans="2:14" s="21" customFormat="1" ht="13.8" thickBot="1" x14ac:dyDescent="0.3">
      <c r="B6" s="27" t="s">
        <v>658</v>
      </c>
      <c r="C6" s="20"/>
      <c r="D6" s="27" t="s">
        <v>659</v>
      </c>
      <c r="F6" s="27" t="s">
        <v>715</v>
      </c>
      <c r="H6" s="27" t="s">
        <v>657</v>
      </c>
      <c r="I6" s="2"/>
      <c r="J6" s="27" t="s">
        <v>660</v>
      </c>
      <c r="K6" s="2"/>
      <c r="L6" s="27" t="s">
        <v>1574</v>
      </c>
      <c r="M6" s="53"/>
      <c r="N6" s="53"/>
    </row>
    <row r="7" spans="2:14" x14ac:dyDescent="0.25">
      <c r="B7" s="23" t="s">
        <v>665</v>
      </c>
      <c r="D7" s="23" t="s">
        <v>674</v>
      </c>
      <c r="F7" s="23" t="s">
        <v>679</v>
      </c>
      <c r="H7" s="23" t="s">
        <v>656</v>
      </c>
      <c r="I7" s="22"/>
      <c r="J7" s="23" t="s">
        <v>702</v>
      </c>
      <c r="K7" s="22"/>
      <c r="L7" s="23" t="s">
        <v>1575</v>
      </c>
      <c r="M7" s="54"/>
      <c r="N7" s="54"/>
    </row>
    <row r="8" spans="2:14" x14ac:dyDescent="0.25">
      <c r="B8" s="24" t="s">
        <v>666</v>
      </c>
      <c r="D8" s="24" t="s">
        <v>675</v>
      </c>
      <c r="F8" s="24" t="s">
        <v>680</v>
      </c>
      <c r="H8" s="24" t="s">
        <v>700</v>
      </c>
      <c r="I8" s="22"/>
      <c r="J8" s="24" t="s">
        <v>703</v>
      </c>
      <c r="K8" s="22"/>
      <c r="L8" s="24" t="s">
        <v>1576</v>
      </c>
      <c r="M8" s="54"/>
      <c r="N8" s="54"/>
    </row>
    <row r="9" spans="2:14" x14ac:dyDescent="0.25">
      <c r="B9" s="24" t="s">
        <v>661</v>
      </c>
      <c r="D9" s="24" t="s">
        <v>676</v>
      </c>
      <c r="F9" s="24" t="s">
        <v>681</v>
      </c>
      <c r="H9" s="24" t="s">
        <v>655</v>
      </c>
      <c r="I9" s="22"/>
      <c r="J9" s="24" t="s">
        <v>704</v>
      </c>
      <c r="K9" s="22"/>
      <c r="L9" s="24" t="s">
        <v>1577</v>
      </c>
      <c r="M9" s="54"/>
      <c r="N9" s="54"/>
    </row>
    <row r="10" spans="2:14" x14ac:dyDescent="0.25">
      <c r="B10" s="24" t="s">
        <v>667</v>
      </c>
      <c r="D10" s="24" t="s">
        <v>677</v>
      </c>
      <c r="F10" s="24" t="s">
        <v>682</v>
      </c>
      <c r="H10" s="24" t="s">
        <v>654</v>
      </c>
      <c r="I10" s="22"/>
      <c r="J10" s="24" t="s">
        <v>663</v>
      </c>
      <c r="K10" s="22"/>
      <c r="L10" s="24" t="s">
        <v>1578</v>
      </c>
      <c r="M10" s="54"/>
      <c r="N10" s="54"/>
    </row>
    <row r="11" spans="2:14" x14ac:dyDescent="0.25">
      <c r="B11" s="24" t="s">
        <v>668</v>
      </c>
      <c r="D11" s="24" t="s">
        <v>678</v>
      </c>
      <c r="F11" s="24" t="s">
        <v>662</v>
      </c>
      <c r="H11" s="24" t="s">
        <v>701</v>
      </c>
      <c r="I11" s="22"/>
      <c r="J11" s="24" t="s">
        <v>705</v>
      </c>
      <c r="K11" s="22"/>
      <c r="L11" s="24" t="s">
        <v>1579</v>
      </c>
      <c r="M11" s="54"/>
      <c r="N11" s="54"/>
    </row>
    <row r="12" spans="2:14" x14ac:dyDescent="0.25">
      <c r="B12" s="25" t="s">
        <v>669</v>
      </c>
      <c r="D12" s="25"/>
      <c r="F12" s="25" t="s">
        <v>683</v>
      </c>
      <c r="H12" s="25" t="s">
        <v>653</v>
      </c>
      <c r="I12" s="8"/>
      <c r="J12" s="25" t="s">
        <v>706</v>
      </c>
      <c r="K12" s="8"/>
      <c r="L12" s="25"/>
      <c r="M12" s="55"/>
      <c r="N12" s="55"/>
    </row>
    <row r="13" spans="2:14" x14ac:dyDescent="0.25">
      <c r="B13" s="25" t="s">
        <v>670</v>
      </c>
      <c r="D13" s="25"/>
      <c r="F13" s="25" t="s">
        <v>684</v>
      </c>
      <c r="H13" s="25"/>
      <c r="I13" s="8"/>
      <c r="J13" s="25" t="s">
        <v>707</v>
      </c>
      <c r="K13" s="8"/>
      <c r="L13" s="25"/>
      <c r="M13" s="55"/>
      <c r="N13" s="55"/>
    </row>
    <row r="14" spans="2:14" x14ac:dyDescent="0.25">
      <c r="B14" s="25" t="s">
        <v>671</v>
      </c>
      <c r="D14" s="25"/>
      <c r="F14" s="25" t="s">
        <v>685</v>
      </c>
      <c r="H14" s="25"/>
      <c r="I14" s="8"/>
      <c r="J14" s="25" t="s">
        <v>708</v>
      </c>
      <c r="K14" s="8"/>
      <c r="L14" s="25"/>
      <c r="M14" s="55"/>
      <c r="N14" s="55"/>
    </row>
    <row r="15" spans="2:14" x14ac:dyDescent="0.25">
      <c r="B15" s="25" t="s">
        <v>672</v>
      </c>
      <c r="D15" s="25"/>
      <c r="F15" s="25" t="s">
        <v>686</v>
      </c>
      <c r="H15" s="25"/>
      <c r="I15" s="8"/>
      <c r="J15" s="25" t="s">
        <v>664</v>
      </c>
      <c r="K15" s="8"/>
      <c r="L15" s="25"/>
      <c r="M15" s="55"/>
      <c r="N15" s="55"/>
    </row>
    <row r="16" spans="2:14" x14ac:dyDescent="0.25">
      <c r="B16" s="25" t="s">
        <v>673</v>
      </c>
      <c r="D16" s="25"/>
      <c r="F16" s="25" t="s">
        <v>687</v>
      </c>
      <c r="H16" s="25"/>
      <c r="I16" s="8"/>
      <c r="J16" s="25" t="s">
        <v>709</v>
      </c>
      <c r="K16" s="8"/>
      <c r="L16" s="25"/>
      <c r="M16" s="55"/>
      <c r="N16" s="55"/>
    </row>
    <row r="17" spans="2:14" x14ac:dyDescent="0.25">
      <c r="B17" s="25"/>
      <c r="D17" s="25"/>
      <c r="F17" s="25" t="s">
        <v>688</v>
      </c>
      <c r="H17" s="25"/>
      <c r="I17" s="8"/>
      <c r="J17" s="25" t="s">
        <v>710</v>
      </c>
      <c r="K17" s="8"/>
      <c r="L17" s="25"/>
      <c r="M17" s="55"/>
      <c r="N17" s="55"/>
    </row>
    <row r="18" spans="2:14" x14ac:dyDescent="0.25">
      <c r="B18" s="25"/>
      <c r="D18" s="25"/>
      <c r="F18" s="25" t="s">
        <v>689</v>
      </c>
      <c r="H18" s="25"/>
      <c r="I18" s="8"/>
      <c r="J18" s="25" t="s">
        <v>711</v>
      </c>
      <c r="K18" s="8"/>
      <c r="L18" s="25"/>
      <c r="M18" s="55"/>
      <c r="N18" s="55"/>
    </row>
    <row r="19" spans="2:14" x14ac:dyDescent="0.25">
      <c r="B19" s="25"/>
      <c r="D19" s="25"/>
      <c r="F19" s="25" t="s">
        <v>690</v>
      </c>
      <c r="H19" s="25"/>
      <c r="I19" s="8"/>
      <c r="J19" s="25" t="s">
        <v>712</v>
      </c>
      <c r="K19" s="8"/>
      <c r="L19" s="25"/>
      <c r="M19" s="55"/>
      <c r="N19" s="55"/>
    </row>
    <row r="20" spans="2:14" x14ac:dyDescent="0.25">
      <c r="B20" s="25"/>
      <c r="D20" s="25"/>
      <c r="F20" s="25" t="s">
        <v>691</v>
      </c>
      <c r="H20" s="25"/>
      <c r="I20" s="8"/>
      <c r="J20" s="25" t="s">
        <v>713</v>
      </c>
      <c r="K20" s="8"/>
      <c r="L20" s="25"/>
      <c r="M20" s="55"/>
      <c r="N20" s="55"/>
    </row>
    <row r="21" spans="2:14" x14ac:dyDescent="0.25">
      <c r="B21" s="25"/>
      <c r="D21" s="25"/>
      <c r="F21" s="25" t="s">
        <v>692</v>
      </c>
      <c r="H21" s="25"/>
      <c r="I21" s="8"/>
      <c r="J21" s="25" t="s">
        <v>714</v>
      </c>
      <c r="K21" s="8"/>
      <c r="L21" s="25"/>
      <c r="M21" s="55"/>
      <c r="N21" s="55"/>
    </row>
    <row r="22" spans="2:14" x14ac:dyDescent="0.25">
      <c r="B22" s="25"/>
      <c r="D22" s="25"/>
      <c r="F22" s="25" t="s">
        <v>693</v>
      </c>
      <c r="H22" s="25"/>
      <c r="I22" s="8"/>
      <c r="J22" s="25" t="s">
        <v>530</v>
      </c>
      <c r="K22" s="8"/>
      <c r="L22" s="25"/>
      <c r="M22" s="55"/>
      <c r="N22" s="55"/>
    </row>
    <row r="23" spans="2:14" x14ac:dyDescent="0.25">
      <c r="B23" s="25"/>
      <c r="D23" s="25"/>
      <c r="F23" s="25" t="s">
        <v>694</v>
      </c>
      <c r="H23" s="25"/>
      <c r="I23" s="8"/>
      <c r="J23" s="25"/>
      <c r="K23" s="8"/>
      <c r="L23" s="25"/>
      <c r="M23" s="55"/>
      <c r="N23" s="55"/>
    </row>
    <row r="24" spans="2:14" x14ac:dyDescent="0.25">
      <c r="B24" s="25"/>
      <c r="D24" s="25"/>
      <c r="F24" s="25" t="s">
        <v>695</v>
      </c>
      <c r="H24" s="25"/>
      <c r="I24" s="8"/>
      <c r="J24" s="25"/>
      <c r="K24" s="8"/>
      <c r="L24" s="25"/>
      <c r="M24" s="55"/>
      <c r="N24" s="55"/>
    </row>
    <row r="25" spans="2:14" x14ac:dyDescent="0.25">
      <c r="B25" s="25"/>
      <c r="D25" s="25"/>
      <c r="F25" s="25" t="s">
        <v>696</v>
      </c>
      <c r="H25" s="25"/>
      <c r="I25" s="8"/>
      <c r="J25" s="25"/>
      <c r="K25" s="8"/>
      <c r="L25" s="25"/>
      <c r="M25" s="55"/>
      <c r="N25" s="55"/>
    </row>
    <row r="26" spans="2:14" x14ac:dyDescent="0.25">
      <c r="B26" s="25"/>
      <c r="D26" s="25"/>
      <c r="F26" s="25" t="s">
        <v>697</v>
      </c>
      <c r="H26" s="25"/>
      <c r="I26" s="8"/>
      <c r="J26" s="25"/>
      <c r="K26" s="8"/>
      <c r="L26" s="25"/>
      <c r="M26" s="55"/>
      <c r="N26" s="55"/>
    </row>
    <row r="27" spans="2:14" x14ac:dyDescent="0.25">
      <c r="B27" s="25"/>
      <c r="D27" s="25"/>
      <c r="F27" s="25" t="s">
        <v>698</v>
      </c>
      <c r="H27" s="25"/>
      <c r="I27" s="8"/>
      <c r="J27" s="25"/>
      <c r="K27" s="8"/>
      <c r="L27" s="25"/>
      <c r="M27" s="55"/>
      <c r="N27" s="55"/>
    </row>
    <row r="28" spans="2:14" x14ac:dyDescent="0.25">
      <c r="B28" s="25"/>
      <c r="D28" s="25"/>
      <c r="F28" s="25" t="s">
        <v>699</v>
      </c>
      <c r="H28" s="25"/>
      <c r="I28" s="8"/>
      <c r="J28" s="25"/>
      <c r="K28" s="8"/>
      <c r="L28" s="25"/>
      <c r="M28" s="55"/>
      <c r="N28" s="55"/>
    </row>
    <row r="29" spans="2:14" x14ac:dyDescent="0.25">
      <c r="B29" s="25"/>
      <c r="D29" s="25"/>
      <c r="F29" s="25"/>
      <c r="H29" s="25"/>
      <c r="I29" s="8"/>
      <c r="J29" s="25"/>
      <c r="K29" s="8"/>
      <c r="L29" s="25"/>
      <c r="M29" s="55"/>
      <c r="N29" s="55"/>
    </row>
    <row r="30" spans="2:14" x14ac:dyDescent="0.25">
      <c r="B30" s="25"/>
      <c r="D30" s="25"/>
      <c r="F30" s="25"/>
      <c r="H30" s="25"/>
      <c r="I30" s="8"/>
      <c r="J30" s="25"/>
      <c r="K30" s="8"/>
      <c r="L30" s="25"/>
      <c r="M30" s="55"/>
      <c r="N30" s="55"/>
    </row>
    <row r="31" spans="2:14" x14ac:dyDescent="0.25">
      <c r="B31" s="25"/>
      <c r="D31" s="25"/>
      <c r="F31" s="25"/>
      <c r="H31" s="25"/>
      <c r="I31" s="8"/>
      <c r="J31" s="25"/>
      <c r="K31" s="8"/>
      <c r="L31" s="25"/>
      <c r="M31" s="55"/>
      <c r="N31" s="55"/>
    </row>
    <row r="32" spans="2:14" x14ac:dyDescent="0.25">
      <c r="B32" s="25"/>
      <c r="D32" s="25"/>
      <c r="F32" s="25"/>
      <c r="H32" s="25"/>
      <c r="I32" s="8"/>
      <c r="J32" s="25"/>
      <c r="K32" s="8"/>
      <c r="L32" s="25"/>
      <c r="M32" s="55"/>
      <c r="N32" s="55"/>
    </row>
    <row r="33" spans="2:18" x14ac:dyDescent="0.25">
      <c r="B33" s="25"/>
      <c r="D33" s="25"/>
      <c r="F33" s="25"/>
      <c r="H33" s="25"/>
      <c r="I33" s="8"/>
      <c r="J33" s="25"/>
      <c r="K33" s="8"/>
      <c r="L33" s="25"/>
      <c r="M33" s="55"/>
      <c r="N33" s="55"/>
    </row>
    <row r="34" spans="2:18" ht="13.8" thickBot="1" x14ac:dyDescent="0.3">
      <c r="B34" s="26"/>
      <c r="D34" s="26"/>
      <c r="F34" s="26"/>
      <c r="H34" s="26"/>
      <c r="I34" s="8"/>
      <c r="J34" s="26"/>
      <c r="K34" s="8"/>
      <c r="L34" s="26"/>
      <c r="M34" s="55"/>
      <c r="N34" s="55"/>
    </row>
    <row r="36" spans="2:18" ht="13.8" thickBot="1" x14ac:dyDescent="0.3"/>
    <row r="37" spans="2:18" ht="15" thickTop="1" x14ac:dyDescent="0.3">
      <c r="D37" s="153" t="s">
        <v>531</v>
      </c>
    </row>
    <row r="38" spans="2:18" ht="15" thickBot="1" x14ac:dyDescent="0.35">
      <c r="D38" s="154" t="s">
        <v>649</v>
      </c>
    </row>
    <row r="39" spans="2:18" ht="13.8" thickTop="1" x14ac:dyDescent="0.25"/>
    <row r="41" spans="2:18" ht="13.8" thickBot="1" x14ac:dyDescent="0.3"/>
    <row r="42" spans="2:18" ht="13.8" thickBot="1" x14ac:dyDescent="0.3">
      <c r="D42" s="150" t="s">
        <v>532</v>
      </c>
    </row>
    <row r="43" spans="2:18" ht="15.6" thickTop="1" thickBot="1" x14ac:dyDescent="0.35">
      <c r="D43" s="151" t="s">
        <v>648</v>
      </c>
      <c r="O43" s="69"/>
      <c r="R43" s="17" t="s">
        <v>648</v>
      </c>
    </row>
    <row r="44" spans="2:18" ht="15" thickTop="1" x14ac:dyDescent="0.3">
      <c r="D44" s="151" t="s">
        <v>652</v>
      </c>
      <c r="R44" s="18" t="s">
        <v>652</v>
      </c>
    </row>
    <row r="45" spans="2:18" ht="14.4" x14ac:dyDescent="0.3">
      <c r="D45" s="151" t="s">
        <v>716</v>
      </c>
      <c r="R45" s="18" t="s">
        <v>716</v>
      </c>
    </row>
    <row r="46" spans="2:18" ht="14.4" x14ac:dyDescent="0.3">
      <c r="D46" s="151" t="s">
        <v>1573</v>
      </c>
      <c r="R46" s="18" t="s">
        <v>1573</v>
      </c>
    </row>
    <row r="47" spans="2:18" ht="14.4" x14ac:dyDescent="0.3">
      <c r="D47" s="151" t="s">
        <v>649</v>
      </c>
      <c r="R47" s="18" t="s">
        <v>649</v>
      </c>
    </row>
    <row r="48" spans="2:18" ht="15" thickBot="1" x14ac:dyDescent="0.35">
      <c r="D48" s="152" t="s">
        <v>650</v>
      </c>
      <c r="R48" s="19" t="s">
        <v>650</v>
      </c>
    </row>
    <row r="50" spans="2:2" ht="13.8" thickBot="1" x14ac:dyDescent="0.3"/>
    <row r="51" spans="2:2" ht="13.8" thickBot="1" x14ac:dyDescent="0.3">
      <c r="B51" s="70" t="s">
        <v>2339</v>
      </c>
    </row>
    <row r="52" spans="2:2" x14ac:dyDescent="0.25">
      <c r="B52" s="90" t="s">
        <v>2348</v>
      </c>
    </row>
    <row r="53" spans="2:2" x14ac:dyDescent="0.25">
      <c r="B53" s="91" t="s">
        <v>2347</v>
      </c>
    </row>
    <row r="54" spans="2:2" x14ac:dyDescent="0.25">
      <c r="B54" s="91" t="s">
        <v>2346</v>
      </c>
    </row>
    <row r="55" spans="2:2" x14ac:dyDescent="0.25">
      <c r="B55" s="91" t="s">
        <v>534</v>
      </c>
    </row>
    <row r="56" spans="2:2" x14ac:dyDescent="0.25">
      <c r="B56" s="91" t="s">
        <v>535</v>
      </c>
    </row>
    <row r="57" spans="2:2" x14ac:dyDescent="0.25">
      <c r="B57" s="91" t="s">
        <v>2345</v>
      </c>
    </row>
    <row r="58" spans="2:2" x14ac:dyDescent="0.25">
      <c r="B58" s="91" t="s">
        <v>2344</v>
      </c>
    </row>
    <row r="59" spans="2:2" x14ac:dyDescent="0.25">
      <c r="B59" s="91" t="s">
        <v>60</v>
      </c>
    </row>
    <row r="60" spans="2:2" x14ac:dyDescent="0.25">
      <c r="B60" s="91" t="s">
        <v>2342</v>
      </c>
    </row>
    <row r="61" spans="2:2" x14ac:dyDescent="0.25">
      <c r="B61" s="91" t="s">
        <v>2343</v>
      </c>
    </row>
    <row r="62" spans="2:2" x14ac:dyDescent="0.25">
      <c r="B62" s="91" t="s">
        <v>2349</v>
      </c>
    </row>
    <row r="63" spans="2:2" x14ac:dyDescent="0.25">
      <c r="B63" s="99" t="s">
        <v>69</v>
      </c>
    </row>
    <row r="64" spans="2:2" x14ac:dyDescent="0.25">
      <c r="B64" s="99" t="s">
        <v>2351</v>
      </c>
    </row>
    <row r="65" spans="2:2" x14ac:dyDescent="0.25">
      <c r="B65" s="99" t="s">
        <v>2350</v>
      </c>
    </row>
    <row r="66" spans="2:2" x14ac:dyDescent="0.25">
      <c r="B66" s="99"/>
    </row>
    <row r="67" spans="2:2" x14ac:dyDescent="0.25">
      <c r="B67" s="99"/>
    </row>
    <row r="68" spans="2:2" ht="13.8" thickBot="1" x14ac:dyDescent="0.3">
      <c r="B68" s="92"/>
    </row>
    <row r="70" spans="2:2" ht="13.8" thickBot="1" x14ac:dyDescent="0.3"/>
    <row r="71" spans="2:2" ht="13.8" thickBot="1" x14ac:dyDescent="0.3">
      <c r="B71" s="71" t="s">
        <v>2352</v>
      </c>
    </row>
    <row r="72" spans="2:2" x14ac:dyDescent="0.25">
      <c r="B72" s="93" t="s">
        <v>2353</v>
      </c>
    </row>
    <row r="73" spans="2:2" x14ac:dyDescent="0.25">
      <c r="B73" s="94" t="s">
        <v>62</v>
      </c>
    </row>
    <row r="74" spans="2:2" x14ac:dyDescent="0.25">
      <c r="B74" s="94" t="s">
        <v>88</v>
      </c>
    </row>
    <row r="75" spans="2:2" x14ac:dyDescent="0.25">
      <c r="B75" s="94" t="s">
        <v>89</v>
      </c>
    </row>
    <row r="76" spans="2:2" x14ac:dyDescent="0.25">
      <c r="B76" s="94" t="s">
        <v>2388</v>
      </c>
    </row>
    <row r="77" spans="2:2" x14ac:dyDescent="0.25">
      <c r="B77" s="94" t="s">
        <v>2355</v>
      </c>
    </row>
    <row r="78" spans="2:2" x14ac:dyDescent="0.25">
      <c r="B78" s="94" t="s">
        <v>2364</v>
      </c>
    </row>
    <row r="79" spans="2:2" x14ac:dyDescent="0.25">
      <c r="B79" s="94" t="s">
        <v>2365</v>
      </c>
    </row>
    <row r="80" spans="2:2" x14ac:dyDescent="0.25">
      <c r="B80" s="94" t="s">
        <v>59</v>
      </c>
    </row>
    <row r="81" spans="2:2" x14ac:dyDescent="0.25">
      <c r="B81" s="94" t="s">
        <v>90</v>
      </c>
    </row>
    <row r="82" spans="2:2" x14ac:dyDescent="0.25">
      <c r="B82" s="94" t="s">
        <v>86</v>
      </c>
    </row>
    <row r="83" spans="2:2" x14ac:dyDescent="0.25">
      <c r="B83" s="94" t="s">
        <v>2371</v>
      </c>
    </row>
    <row r="84" spans="2:2" x14ac:dyDescent="0.25">
      <c r="B84" s="94" t="s">
        <v>2368</v>
      </c>
    </row>
    <row r="85" spans="2:2" x14ac:dyDescent="0.25">
      <c r="B85" s="95" t="s">
        <v>2389</v>
      </c>
    </row>
    <row r="86" spans="2:2" x14ac:dyDescent="0.25">
      <c r="B86" s="94" t="s">
        <v>58</v>
      </c>
    </row>
    <row r="87" spans="2:2" x14ac:dyDescent="0.25">
      <c r="B87" s="94" t="s">
        <v>85</v>
      </c>
    </row>
    <row r="88" spans="2:2" x14ac:dyDescent="0.25">
      <c r="B88" s="95" t="s">
        <v>2421</v>
      </c>
    </row>
    <row r="89" spans="2:2" x14ac:dyDescent="0.25">
      <c r="B89" s="94" t="s">
        <v>2377</v>
      </c>
    </row>
    <row r="90" spans="2:2" x14ac:dyDescent="0.25">
      <c r="B90" s="95" t="s">
        <v>2390</v>
      </c>
    </row>
    <row r="91" spans="2:2" x14ac:dyDescent="0.25">
      <c r="B91" s="94" t="s">
        <v>84</v>
      </c>
    </row>
    <row r="92" spans="2:2" x14ac:dyDescent="0.25">
      <c r="B92" s="94" t="s">
        <v>2378</v>
      </c>
    </row>
    <row r="93" spans="2:2" x14ac:dyDescent="0.25">
      <c r="B93" s="94" t="s">
        <v>2380</v>
      </c>
    </row>
    <row r="94" spans="2:2" x14ac:dyDescent="0.25">
      <c r="B94" s="95" t="s">
        <v>2391</v>
      </c>
    </row>
    <row r="95" spans="2:2" x14ac:dyDescent="0.25">
      <c r="B95" s="95" t="s">
        <v>2392</v>
      </c>
    </row>
    <row r="96" spans="2:2" x14ac:dyDescent="0.25">
      <c r="B96" s="95" t="s">
        <v>2393</v>
      </c>
    </row>
    <row r="97" spans="2:2" x14ac:dyDescent="0.25">
      <c r="B97" s="94" t="s">
        <v>2376</v>
      </c>
    </row>
    <row r="98" spans="2:2" x14ac:dyDescent="0.25">
      <c r="B98" s="95" t="s">
        <v>2394</v>
      </c>
    </row>
    <row r="99" spans="2:2" x14ac:dyDescent="0.25">
      <c r="B99" s="95" t="s">
        <v>2395</v>
      </c>
    </row>
    <row r="100" spans="2:2" x14ac:dyDescent="0.25">
      <c r="B100" s="94" t="s">
        <v>79</v>
      </c>
    </row>
    <row r="101" spans="2:2" x14ac:dyDescent="0.25">
      <c r="B101" s="94" t="s">
        <v>61</v>
      </c>
    </row>
    <row r="102" spans="2:2" x14ac:dyDescent="0.25">
      <c r="B102" s="95" t="s">
        <v>2396</v>
      </c>
    </row>
    <row r="103" spans="2:2" x14ac:dyDescent="0.25">
      <c r="B103" s="94" t="s">
        <v>82</v>
      </c>
    </row>
    <row r="104" spans="2:2" x14ac:dyDescent="0.25">
      <c r="B104" s="97" t="s">
        <v>83</v>
      </c>
    </row>
    <row r="105" spans="2:2" x14ac:dyDescent="0.25">
      <c r="B105" s="96" t="s">
        <v>2420</v>
      </c>
    </row>
    <row r="106" spans="2:2" x14ac:dyDescent="0.25">
      <c r="B106" s="96" t="s">
        <v>2397</v>
      </c>
    </row>
    <row r="107" spans="2:2" x14ac:dyDescent="0.25">
      <c r="B107" s="97" t="s">
        <v>2397</v>
      </c>
    </row>
    <row r="108" spans="2:2" x14ac:dyDescent="0.25">
      <c r="B108" s="96" t="s">
        <v>2398</v>
      </c>
    </row>
    <row r="109" spans="2:2" x14ac:dyDescent="0.25">
      <c r="B109" s="97" t="s">
        <v>2382</v>
      </c>
    </row>
    <row r="110" spans="2:2" x14ac:dyDescent="0.25">
      <c r="B110" s="96" t="s">
        <v>2410</v>
      </c>
    </row>
    <row r="111" spans="2:2" x14ac:dyDescent="0.25">
      <c r="B111" s="97" t="s">
        <v>2361</v>
      </c>
    </row>
    <row r="112" spans="2:2" x14ac:dyDescent="0.25">
      <c r="B112" s="96" t="s">
        <v>2399</v>
      </c>
    </row>
    <row r="113" spans="2:2" x14ac:dyDescent="0.25">
      <c r="B113" s="97" t="s">
        <v>2367</v>
      </c>
    </row>
    <row r="114" spans="2:2" x14ac:dyDescent="0.25">
      <c r="B114" s="97" t="s">
        <v>2357</v>
      </c>
    </row>
    <row r="115" spans="2:2" x14ac:dyDescent="0.25">
      <c r="B115" s="97" t="s">
        <v>57</v>
      </c>
    </row>
    <row r="116" spans="2:2" x14ac:dyDescent="0.25">
      <c r="B116" s="97" t="s">
        <v>2356</v>
      </c>
    </row>
    <row r="117" spans="2:2" x14ac:dyDescent="0.25">
      <c r="B117" s="96" t="s">
        <v>2408</v>
      </c>
    </row>
    <row r="118" spans="2:2" x14ac:dyDescent="0.25">
      <c r="B118" s="96" t="s">
        <v>2400</v>
      </c>
    </row>
    <row r="119" spans="2:2" x14ac:dyDescent="0.25">
      <c r="B119" s="96" t="s">
        <v>2407</v>
      </c>
    </row>
    <row r="120" spans="2:2" x14ac:dyDescent="0.25">
      <c r="B120" s="96" t="s">
        <v>2402</v>
      </c>
    </row>
    <row r="121" spans="2:2" x14ac:dyDescent="0.25">
      <c r="B121" s="96" t="s">
        <v>2401</v>
      </c>
    </row>
    <row r="122" spans="2:2" x14ac:dyDescent="0.25">
      <c r="B122" s="97" t="s">
        <v>78</v>
      </c>
    </row>
    <row r="123" spans="2:2" x14ac:dyDescent="0.25">
      <c r="B123" s="97" t="s">
        <v>2374</v>
      </c>
    </row>
    <row r="124" spans="2:2" x14ac:dyDescent="0.25">
      <c r="B124" s="97" t="s">
        <v>73</v>
      </c>
    </row>
    <row r="125" spans="2:2" x14ac:dyDescent="0.25">
      <c r="B125" s="97" t="s">
        <v>74</v>
      </c>
    </row>
    <row r="126" spans="2:2" x14ac:dyDescent="0.25">
      <c r="B126" s="97" t="s">
        <v>75</v>
      </c>
    </row>
    <row r="127" spans="2:2" x14ac:dyDescent="0.25">
      <c r="B127" s="97" t="s">
        <v>76</v>
      </c>
    </row>
    <row r="128" spans="2:2" x14ac:dyDescent="0.25">
      <c r="B128" s="96" t="s">
        <v>2415</v>
      </c>
    </row>
    <row r="129" spans="2:2" x14ac:dyDescent="0.25">
      <c r="B129" s="97" t="s">
        <v>533</v>
      </c>
    </row>
    <row r="130" spans="2:2" x14ac:dyDescent="0.25">
      <c r="B130" s="97" t="s">
        <v>77</v>
      </c>
    </row>
    <row r="131" spans="2:2" x14ac:dyDescent="0.25">
      <c r="B131" s="96" t="s">
        <v>2409</v>
      </c>
    </row>
    <row r="132" spans="2:2" x14ac:dyDescent="0.25">
      <c r="B132" s="97" t="s">
        <v>544</v>
      </c>
    </row>
    <row r="133" spans="2:2" x14ac:dyDescent="0.25">
      <c r="B133" s="97" t="s">
        <v>543</v>
      </c>
    </row>
    <row r="134" spans="2:2" x14ac:dyDescent="0.25">
      <c r="B134" s="97" t="s">
        <v>2358</v>
      </c>
    </row>
    <row r="135" spans="2:2" x14ac:dyDescent="0.25">
      <c r="B135" s="97" t="s">
        <v>2354</v>
      </c>
    </row>
    <row r="136" spans="2:2" x14ac:dyDescent="0.25">
      <c r="B136" s="96" t="s">
        <v>2475</v>
      </c>
    </row>
    <row r="137" spans="2:2" x14ac:dyDescent="0.25">
      <c r="B137" s="96" t="s">
        <v>2477</v>
      </c>
    </row>
    <row r="138" spans="2:2" x14ac:dyDescent="0.25">
      <c r="B138" s="97" t="s">
        <v>2372</v>
      </c>
    </row>
    <row r="139" spans="2:2" x14ac:dyDescent="0.25">
      <c r="B139" s="96" t="s">
        <v>2412</v>
      </c>
    </row>
    <row r="140" spans="2:2" x14ac:dyDescent="0.25">
      <c r="B140" s="97" t="s">
        <v>2370</v>
      </c>
    </row>
    <row r="141" spans="2:2" x14ac:dyDescent="0.25">
      <c r="B141" s="97" t="s">
        <v>63</v>
      </c>
    </row>
    <row r="142" spans="2:2" x14ac:dyDescent="0.25">
      <c r="B142" s="96" t="s">
        <v>2411</v>
      </c>
    </row>
    <row r="143" spans="2:2" x14ac:dyDescent="0.25">
      <c r="B143" s="97" t="s">
        <v>2381</v>
      </c>
    </row>
    <row r="144" spans="2:2" x14ac:dyDescent="0.25">
      <c r="B144" s="96" t="s">
        <v>71</v>
      </c>
    </row>
    <row r="145" spans="2:2" x14ac:dyDescent="0.25">
      <c r="B145" s="96" t="s">
        <v>2413</v>
      </c>
    </row>
    <row r="146" spans="2:2" x14ac:dyDescent="0.25">
      <c r="B146" s="97" t="s">
        <v>2359</v>
      </c>
    </row>
    <row r="147" spans="2:2" x14ac:dyDescent="0.25">
      <c r="B147" s="96" t="s">
        <v>2414</v>
      </c>
    </row>
    <row r="148" spans="2:2" x14ac:dyDescent="0.25">
      <c r="B148" s="97" t="s">
        <v>2375</v>
      </c>
    </row>
    <row r="149" spans="2:2" x14ac:dyDescent="0.25">
      <c r="B149" s="97" t="s">
        <v>72</v>
      </c>
    </row>
    <row r="150" spans="2:2" x14ac:dyDescent="0.25">
      <c r="B150" s="97" t="s">
        <v>2369</v>
      </c>
    </row>
    <row r="151" spans="2:2" x14ac:dyDescent="0.25">
      <c r="B151" s="97" t="s">
        <v>2366</v>
      </c>
    </row>
    <row r="152" spans="2:2" x14ac:dyDescent="0.25">
      <c r="B152" s="96" t="s">
        <v>2476</v>
      </c>
    </row>
    <row r="153" spans="2:2" x14ac:dyDescent="0.25">
      <c r="B153" s="97" t="s">
        <v>2362</v>
      </c>
    </row>
    <row r="154" spans="2:2" x14ac:dyDescent="0.25">
      <c r="B154" s="96" t="s">
        <v>2416</v>
      </c>
    </row>
    <row r="155" spans="2:2" x14ac:dyDescent="0.25">
      <c r="B155" s="97" t="s">
        <v>68</v>
      </c>
    </row>
    <row r="156" spans="2:2" x14ac:dyDescent="0.25">
      <c r="B156" s="97" t="s">
        <v>80</v>
      </c>
    </row>
    <row r="157" spans="2:2" x14ac:dyDescent="0.25">
      <c r="B157" s="97" t="s">
        <v>81</v>
      </c>
    </row>
    <row r="158" spans="2:2" x14ac:dyDescent="0.25">
      <c r="B158" s="97" t="s">
        <v>87</v>
      </c>
    </row>
    <row r="159" spans="2:2" x14ac:dyDescent="0.25">
      <c r="B159" s="97" t="s">
        <v>542</v>
      </c>
    </row>
    <row r="160" spans="2:2" x14ac:dyDescent="0.25">
      <c r="B160" s="97" t="s">
        <v>2379</v>
      </c>
    </row>
    <row r="161" spans="2:2" x14ac:dyDescent="0.25">
      <c r="B161" s="96" t="s">
        <v>2417</v>
      </c>
    </row>
    <row r="162" spans="2:2" x14ac:dyDescent="0.25">
      <c r="B162" s="97" t="s">
        <v>2363</v>
      </c>
    </row>
    <row r="163" spans="2:2" x14ac:dyDescent="0.25">
      <c r="B163" s="97" t="s">
        <v>540</v>
      </c>
    </row>
    <row r="164" spans="2:2" x14ac:dyDescent="0.25">
      <c r="B164" s="96" t="s">
        <v>2418</v>
      </c>
    </row>
    <row r="165" spans="2:2" x14ac:dyDescent="0.25">
      <c r="B165" s="97" t="s">
        <v>541</v>
      </c>
    </row>
    <row r="166" spans="2:2" x14ac:dyDescent="0.25">
      <c r="B166" s="97" t="s">
        <v>536</v>
      </c>
    </row>
    <row r="167" spans="2:2" x14ac:dyDescent="0.25">
      <c r="B167" s="96" t="s">
        <v>2419</v>
      </c>
    </row>
    <row r="168" spans="2:2" x14ac:dyDescent="0.25">
      <c r="B168" s="97" t="s">
        <v>537</v>
      </c>
    </row>
    <row r="169" spans="2:2" x14ac:dyDescent="0.25">
      <c r="B169" s="97" t="s">
        <v>538</v>
      </c>
    </row>
    <row r="170" spans="2:2" x14ac:dyDescent="0.25">
      <c r="B170" s="97" t="s">
        <v>539</v>
      </c>
    </row>
    <row r="171" spans="2:2" x14ac:dyDescent="0.25">
      <c r="B171" s="97" t="s">
        <v>2360</v>
      </c>
    </row>
    <row r="172" spans="2:2" x14ac:dyDescent="0.25">
      <c r="B172" s="97" t="s">
        <v>2373</v>
      </c>
    </row>
    <row r="173" spans="2:2" x14ac:dyDescent="0.25">
      <c r="B173" s="97"/>
    </row>
    <row r="174" spans="2:2" x14ac:dyDescent="0.25">
      <c r="B174" s="97"/>
    </row>
    <row r="175" spans="2:2" x14ac:dyDescent="0.25">
      <c r="B175" s="97"/>
    </row>
    <row r="176" spans="2:2" x14ac:dyDescent="0.25">
      <c r="B176" s="97"/>
    </row>
    <row r="177" spans="2:2" x14ac:dyDescent="0.25">
      <c r="B177" s="97"/>
    </row>
    <row r="178" spans="2:2" x14ac:dyDescent="0.25">
      <c r="B178" s="97"/>
    </row>
    <row r="179" spans="2:2" x14ac:dyDescent="0.25">
      <c r="B179" s="97"/>
    </row>
    <row r="180" spans="2:2" x14ac:dyDescent="0.25">
      <c r="B180" s="97"/>
    </row>
    <row r="181" spans="2:2" x14ac:dyDescent="0.25">
      <c r="B181" s="97"/>
    </row>
    <row r="182" spans="2:2" ht="13.8" thickBot="1" x14ac:dyDescent="0.3">
      <c r="B182" s="100"/>
    </row>
    <row r="185" spans="2:2" ht="13.8" thickBot="1" x14ac:dyDescent="0.3"/>
    <row r="186" spans="2:2" x14ac:dyDescent="0.25">
      <c r="B186" s="98" t="s">
        <v>2423</v>
      </c>
    </row>
    <row r="187" spans="2:2" ht="14.4" x14ac:dyDescent="0.3">
      <c r="B187" s="145" t="s">
        <v>2424</v>
      </c>
    </row>
    <row r="188" spans="2:2" ht="14.4" x14ac:dyDescent="0.3">
      <c r="B188" s="146" t="s">
        <v>64</v>
      </c>
    </row>
    <row r="189" spans="2:2" ht="14.4" x14ac:dyDescent="0.3">
      <c r="B189" s="147" t="s">
        <v>67</v>
      </c>
    </row>
    <row r="190" spans="2:2" ht="14.4" x14ac:dyDescent="0.3">
      <c r="B190" s="147" t="s">
        <v>66</v>
      </c>
    </row>
    <row r="191" spans="2:2" ht="14.4" x14ac:dyDescent="0.3">
      <c r="B191" s="147" t="s">
        <v>2425</v>
      </c>
    </row>
    <row r="192" spans="2:2" ht="14.4" x14ac:dyDescent="0.3">
      <c r="B192" s="147" t="s">
        <v>65</v>
      </c>
    </row>
    <row r="193" spans="2:2" ht="14.4" x14ac:dyDescent="0.3">
      <c r="B193" s="147"/>
    </row>
    <row r="194" spans="2:2" ht="14.4" x14ac:dyDescent="0.3">
      <c r="B194" s="147"/>
    </row>
    <row r="195" spans="2:2" ht="13.8" thickBot="1" x14ac:dyDescent="0.3">
      <c r="B195" s="148"/>
    </row>
    <row r="198" spans="2:2" ht="13.8" thickBot="1" x14ac:dyDescent="0.3"/>
    <row r="199" spans="2:2" ht="14.4" x14ac:dyDescent="0.3">
      <c r="B199" s="142" t="s">
        <v>528</v>
      </c>
    </row>
    <row r="200" spans="2:2" ht="14.4" x14ac:dyDescent="0.3">
      <c r="B200" s="143" t="s">
        <v>546</v>
      </c>
    </row>
    <row r="201" spans="2:2" ht="14.4" x14ac:dyDescent="0.3">
      <c r="B201" s="143" t="s">
        <v>545</v>
      </c>
    </row>
    <row r="202" spans="2:2" ht="14.4" x14ac:dyDescent="0.3">
      <c r="B202" s="143"/>
    </row>
    <row r="203" spans="2:2" ht="14.4" x14ac:dyDescent="0.3">
      <c r="B203" s="143"/>
    </row>
    <row r="204" spans="2:2" ht="14.4" x14ac:dyDescent="0.3">
      <c r="B204" s="143"/>
    </row>
    <row r="205" spans="2:2" ht="14.4" x14ac:dyDescent="0.3">
      <c r="B205" s="143"/>
    </row>
    <row r="206" spans="2:2" ht="15" thickBot="1" x14ac:dyDescent="0.35">
      <c r="B206" s="144"/>
    </row>
    <row r="209" spans="2:2" ht="13.8" thickBot="1" x14ac:dyDescent="0.3"/>
    <row r="210" spans="2:2" x14ac:dyDescent="0.25">
      <c r="B210" s="149" t="s">
        <v>529</v>
      </c>
    </row>
    <row r="211" spans="2:2" ht="14.4" x14ac:dyDescent="0.3">
      <c r="B211" s="143" t="s">
        <v>547</v>
      </c>
    </row>
    <row r="212" spans="2:2" ht="14.4" x14ac:dyDescent="0.3">
      <c r="B212" s="143" t="s">
        <v>548</v>
      </c>
    </row>
    <row r="213" spans="2:2" ht="14.4" x14ac:dyDescent="0.3">
      <c r="B213" s="143" t="s">
        <v>549</v>
      </c>
    </row>
    <row r="214" spans="2:2" ht="14.4" x14ac:dyDescent="0.3">
      <c r="B214" s="143"/>
    </row>
    <row r="215" spans="2:2" ht="14.4" x14ac:dyDescent="0.3">
      <c r="B215" s="143"/>
    </row>
    <row r="216" spans="2:2" ht="14.4" x14ac:dyDescent="0.3">
      <c r="B216" s="143"/>
    </row>
    <row r="217" spans="2:2" ht="15" thickBot="1" x14ac:dyDescent="0.35">
      <c r="B217" s="144"/>
    </row>
  </sheetData>
  <sheetProtection selectLockedCells="1"/>
  <phoneticPr fontId="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mdGoToDOrder">
          <controlPr defaultSize="0" autoLine="0" r:id="rId5">
            <anchor moveWithCells="1">
              <from>
                <xdr:col>1</xdr:col>
                <xdr:colOff>30480</xdr:colOff>
                <xdr:row>1</xdr:row>
                <xdr:rowOff>38100</xdr:rowOff>
              </from>
              <to>
                <xdr:col>1</xdr:col>
                <xdr:colOff>1699260</xdr:colOff>
                <xdr:row>2</xdr:row>
                <xdr:rowOff>137160</xdr:rowOff>
              </to>
            </anchor>
          </controlPr>
        </control>
      </mc:Choice>
      <mc:Fallback>
        <control shapeId="4098" r:id="rId4" name="cmdGoToDOrde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J108"/>
  <sheetViews>
    <sheetView showGridLines="0" showRowColHeaders="0" zoomScale="85" zoomScaleNormal="85" workbookViewId="0">
      <selection activeCell="F88" sqref="F88"/>
    </sheetView>
  </sheetViews>
  <sheetFormatPr defaultRowHeight="13.2" customHeight="1" x14ac:dyDescent="0.25"/>
  <cols>
    <col min="2" max="6" width="18.6640625" customWidth="1"/>
    <col min="7" max="7" width="18.6640625" style="32" customWidth="1"/>
    <col min="8" max="8" width="10.88671875" customWidth="1"/>
    <col min="9" max="9" width="15.44140625" style="36" customWidth="1"/>
    <col min="10" max="10" width="7.6640625" customWidth="1"/>
  </cols>
  <sheetData>
    <row r="1" spans="2:10" s="28" customFormat="1" ht="14.85" customHeight="1" x14ac:dyDescent="0.25">
      <c r="G1" s="29"/>
      <c r="I1" s="49"/>
    </row>
    <row r="2" spans="2:10" s="28" customFormat="1" ht="14.85" customHeight="1" x14ac:dyDescent="0.25">
      <c r="G2" s="29"/>
      <c r="I2" s="49"/>
    </row>
    <row r="3" spans="2:10" s="28" customFormat="1" ht="14.85" customHeight="1" x14ac:dyDescent="0.25">
      <c r="C3" s="30"/>
      <c r="G3" s="29"/>
      <c r="I3" s="49"/>
    </row>
    <row r="4" spans="2:10" s="28" customFormat="1" ht="14.85" customHeight="1" x14ac:dyDescent="0.25">
      <c r="B4" s="31"/>
      <c r="G4" s="29"/>
      <c r="I4" s="49"/>
    </row>
    <row r="5" spans="2:10" s="28" customFormat="1" ht="14.85" customHeight="1" x14ac:dyDescent="0.25">
      <c r="G5" s="29"/>
      <c r="I5" s="49"/>
    </row>
    <row r="7" spans="2:10" ht="13.2" customHeight="1" x14ac:dyDescent="0.25">
      <c r="B7" s="33" t="s">
        <v>1024</v>
      </c>
      <c r="C7" s="33" t="s">
        <v>717</v>
      </c>
      <c r="D7" s="33" t="s">
        <v>1025</v>
      </c>
      <c r="E7" s="33" t="s">
        <v>1026</v>
      </c>
      <c r="F7" s="33" t="s">
        <v>718</v>
      </c>
      <c r="G7" s="33" t="s">
        <v>719</v>
      </c>
      <c r="H7" s="33" t="s">
        <v>720</v>
      </c>
      <c r="I7" s="50" t="s">
        <v>721</v>
      </c>
      <c r="J7" s="33" t="s">
        <v>722</v>
      </c>
    </row>
    <row r="8" spans="2:10" ht="13.2" customHeight="1" x14ac:dyDescent="0.25">
      <c r="B8" s="34" t="s">
        <v>723</v>
      </c>
      <c r="C8" s="34" t="s">
        <v>1547</v>
      </c>
      <c r="D8" s="34" t="s">
        <v>1548</v>
      </c>
      <c r="E8" s="34" t="s">
        <v>1411</v>
      </c>
      <c r="F8" s="35" t="s">
        <v>724</v>
      </c>
      <c r="G8" s="35" t="s">
        <v>725</v>
      </c>
      <c r="H8" s="42"/>
      <c r="I8" s="34"/>
      <c r="J8" s="21" t="s">
        <v>726</v>
      </c>
    </row>
    <row r="9" spans="2:10" ht="13.2" customHeight="1" x14ac:dyDescent="0.25">
      <c r="B9" s="34" t="s">
        <v>1247</v>
      </c>
      <c r="C9" s="34" t="s">
        <v>1248</v>
      </c>
      <c r="D9" s="36" t="s">
        <v>1249</v>
      </c>
      <c r="E9" s="36" t="s">
        <v>1250</v>
      </c>
      <c r="F9" s="35" t="s">
        <v>1251</v>
      </c>
      <c r="G9" s="35" t="s">
        <v>1252</v>
      </c>
      <c r="H9" s="35"/>
      <c r="I9" s="36" t="s">
        <v>1259</v>
      </c>
      <c r="J9" s="21" t="s">
        <v>1040</v>
      </c>
    </row>
    <row r="10" spans="2:10" ht="13.2" customHeight="1" x14ac:dyDescent="0.25">
      <c r="B10" s="101" t="s">
        <v>107</v>
      </c>
      <c r="C10" s="101" t="s">
        <v>108</v>
      </c>
      <c r="D10" s="101" t="s">
        <v>109</v>
      </c>
      <c r="E10" s="101"/>
      <c r="F10" s="102" t="s">
        <v>110</v>
      </c>
      <c r="G10" s="102"/>
      <c r="H10" s="103"/>
      <c r="I10" s="106" t="s">
        <v>111</v>
      </c>
      <c r="J10" s="105" t="s">
        <v>726</v>
      </c>
    </row>
    <row r="11" spans="2:10" ht="13.2" customHeight="1" x14ac:dyDescent="0.25">
      <c r="B11" s="34" t="s">
        <v>1514</v>
      </c>
      <c r="C11" s="34" t="s">
        <v>1520</v>
      </c>
      <c r="D11" s="34" t="s">
        <v>1521</v>
      </c>
      <c r="E11" s="34" t="s">
        <v>1522</v>
      </c>
      <c r="F11" s="35" t="s">
        <v>798</v>
      </c>
      <c r="G11" s="35" t="s">
        <v>799</v>
      </c>
      <c r="H11" s="42"/>
      <c r="I11" s="36" t="s">
        <v>1523</v>
      </c>
      <c r="J11" s="21" t="s">
        <v>726</v>
      </c>
    </row>
    <row r="12" spans="2:10" ht="13.2" customHeight="1" x14ac:dyDescent="0.25">
      <c r="B12" s="34" t="s">
        <v>727</v>
      </c>
      <c r="C12" s="34" t="s">
        <v>1422</v>
      </c>
      <c r="D12" s="34" t="s">
        <v>1423</v>
      </c>
      <c r="E12" s="34" t="s">
        <v>1424</v>
      </c>
      <c r="F12" s="35" t="s">
        <v>728</v>
      </c>
      <c r="G12" s="35" t="s">
        <v>729</v>
      </c>
      <c r="H12" s="42"/>
      <c r="I12" s="34"/>
      <c r="J12" s="21" t="s">
        <v>726</v>
      </c>
    </row>
    <row r="13" spans="2:10" ht="13.2" customHeight="1" x14ac:dyDescent="0.25">
      <c r="B13" s="34" t="s">
        <v>730</v>
      </c>
      <c r="C13" s="34" t="s">
        <v>1122</v>
      </c>
      <c r="D13" s="34" t="s">
        <v>1123</v>
      </c>
      <c r="E13" s="34" t="s">
        <v>1124</v>
      </c>
      <c r="F13" s="35" t="s">
        <v>731</v>
      </c>
      <c r="G13" s="35" t="s">
        <v>732</v>
      </c>
      <c r="H13" s="35" t="s">
        <v>733</v>
      </c>
      <c r="I13" s="36" t="s">
        <v>734</v>
      </c>
      <c r="J13" s="21" t="s">
        <v>1040</v>
      </c>
    </row>
    <row r="14" spans="2:10" ht="13.2" customHeight="1" x14ac:dyDescent="0.25">
      <c r="B14" s="34" t="s">
        <v>741</v>
      </c>
      <c r="C14" s="34" t="s">
        <v>1511</v>
      </c>
      <c r="D14" s="34" t="s">
        <v>1512</v>
      </c>
      <c r="E14" s="34" t="s">
        <v>1513</v>
      </c>
      <c r="F14" s="35" t="s">
        <v>742</v>
      </c>
      <c r="G14" s="35"/>
      <c r="H14" s="42"/>
      <c r="I14" s="34"/>
      <c r="J14" s="21" t="s">
        <v>726</v>
      </c>
    </row>
    <row r="15" spans="2:10" ht="13.2" customHeight="1" x14ac:dyDescent="0.25">
      <c r="B15" s="44" t="s">
        <v>749</v>
      </c>
      <c r="C15" s="44" t="s">
        <v>1503</v>
      </c>
      <c r="D15" s="34" t="s">
        <v>1504</v>
      </c>
      <c r="E15" s="34" t="s">
        <v>1505</v>
      </c>
      <c r="F15" s="35" t="s">
        <v>750</v>
      </c>
      <c r="G15" s="35"/>
      <c r="H15" s="42"/>
      <c r="I15" s="34"/>
      <c r="J15" s="21" t="s">
        <v>726</v>
      </c>
    </row>
    <row r="16" spans="2:10" ht="13.2" customHeight="1" x14ac:dyDescent="0.25">
      <c r="B16" s="34" t="s">
        <v>1480</v>
      </c>
      <c r="C16" s="34" t="s">
        <v>1481</v>
      </c>
      <c r="D16" s="46" t="s">
        <v>1482</v>
      </c>
      <c r="E16" s="47" t="s">
        <v>1483</v>
      </c>
      <c r="F16" s="35" t="s">
        <v>1484</v>
      </c>
      <c r="G16" s="35" t="s">
        <v>1485</v>
      </c>
      <c r="H16" s="35"/>
      <c r="I16" s="34"/>
      <c r="J16" s="21" t="s">
        <v>726</v>
      </c>
    </row>
    <row r="17" spans="2:10" ht="13.2" customHeight="1" x14ac:dyDescent="0.25">
      <c r="B17" s="34" t="s">
        <v>751</v>
      </c>
      <c r="C17" s="34" t="s">
        <v>752</v>
      </c>
      <c r="D17" s="34" t="s">
        <v>1402</v>
      </c>
      <c r="E17" s="34" t="s">
        <v>1403</v>
      </c>
      <c r="F17" s="35" t="s">
        <v>753</v>
      </c>
      <c r="G17" s="35"/>
      <c r="H17" s="42"/>
      <c r="I17" s="34"/>
      <c r="J17" s="21" t="s">
        <v>726</v>
      </c>
    </row>
    <row r="18" spans="2:10" ht="13.2" customHeight="1" x14ac:dyDescent="0.25">
      <c r="B18" s="34" t="s">
        <v>754</v>
      </c>
      <c r="C18" s="34" t="s">
        <v>755</v>
      </c>
      <c r="D18" s="34" t="s">
        <v>1184</v>
      </c>
      <c r="E18" s="34" t="s">
        <v>1185</v>
      </c>
      <c r="F18" s="35" t="s">
        <v>756</v>
      </c>
      <c r="G18" s="35" t="s">
        <v>757</v>
      </c>
      <c r="H18" s="35" t="s">
        <v>758</v>
      </c>
      <c r="I18" s="36" t="s">
        <v>759</v>
      </c>
      <c r="J18" s="21" t="s">
        <v>1040</v>
      </c>
    </row>
    <row r="19" spans="2:10" ht="13.2" customHeight="1" x14ac:dyDescent="0.25">
      <c r="B19" s="34" t="s">
        <v>760</v>
      </c>
      <c r="C19" s="34" t="s">
        <v>1410</v>
      </c>
      <c r="D19" s="34" t="s">
        <v>1333</v>
      </c>
      <c r="E19" s="34" t="s">
        <v>1411</v>
      </c>
      <c r="F19" s="35" t="s">
        <v>761</v>
      </c>
      <c r="G19" s="35" t="s">
        <v>762</v>
      </c>
      <c r="H19" s="42"/>
      <c r="I19" s="34"/>
      <c r="J19" s="21" t="s">
        <v>726</v>
      </c>
    </row>
    <row r="20" spans="2:10" ht="13.2" customHeight="1" x14ac:dyDescent="0.25">
      <c r="B20" s="34" t="s">
        <v>1493</v>
      </c>
      <c r="C20" s="34" t="s">
        <v>1494</v>
      </c>
      <c r="D20" s="37" t="s">
        <v>1495</v>
      </c>
      <c r="E20" s="34" t="s">
        <v>1496</v>
      </c>
      <c r="F20" s="35" t="s">
        <v>763</v>
      </c>
      <c r="G20" s="35" t="s">
        <v>1497</v>
      </c>
      <c r="H20" s="41"/>
      <c r="I20" s="34"/>
      <c r="J20" s="21" t="s">
        <v>726</v>
      </c>
    </row>
    <row r="21" spans="2:10" ht="13.2" customHeight="1" x14ac:dyDescent="0.25">
      <c r="B21" s="34" t="s">
        <v>1286</v>
      </c>
      <c r="C21" s="34" t="s">
        <v>1287</v>
      </c>
      <c r="D21" s="34" t="s">
        <v>1288</v>
      </c>
      <c r="E21" s="34" t="s">
        <v>1289</v>
      </c>
      <c r="F21" s="35"/>
      <c r="G21" s="35"/>
      <c r="H21" s="35" t="s">
        <v>1290</v>
      </c>
      <c r="J21" s="21" t="s">
        <v>1060</v>
      </c>
    </row>
    <row r="22" spans="2:10" ht="13.2" customHeight="1" x14ac:dyDescent="0.25">
      <c r="B22" s="34" t="s">
        <v>764</v>
      </c>
      <c r="C22" s="34" t="s">
        <v>1341</v>
      </c>
      <c r="D22" s="34" t="s">
        <v>1342</v>
      </c>
      <c r="E22" s="34" t="s">
        <v>1343</v>
      </c>
      <c r="F22" s="35" t="s">
        <v>765</v>
      </c>
      <c r="G22" s="35"/>
      <c r="H22" s="42"/>
      <c r="I22" s="34"/>
      <c r="J22" s="21" t="s">
        <v>726</v>
      </c>
    </row>
    <row r="23" spans="2:10" ht="13.2" customHeight="1" x14ac:dyDescent="0.25">
      <c r="B23" s="34" t="s">
        <v>766</v>
      </c>
      <c r="C23" s="34" t="s">
        <v>1304</v>
      </c>
      <c r="D23" s="34" t="s">
        <v>1305</v>
      </c>
      <c r="E23" s="34" t="s">
        <v>1306</v>
      </c>
      <c r="F23" s="35" t="s">
        <v>767</v>
      </c>
      <c r="G23" s="35"/>
      <c r="H23" s="42"/>
      <c r="I23" s="34"/>
      <c r="J23" s="21" t="s">
        <v>726</v>
      </c>
    </row>
    <row r="24" spans="2:10" ht="13.2" customHeight="1" x14ac:dyDescent="0.25">
      <c r="B24" s="34" t="s">
        <v>768</v>
      </c>
      <c r="C24" s="34" t="s">
        <v>769</v>
      </c>
      <c r="D24" s="34" t="s">
        <v>1084</v>
      </c>
      <c r="E24" s="34" t="s">
        <v>1085</v>
      </c>
      <c r="F24" s="35" t="s">
        <v>770</v>
      </c>
      <c r="G24" s="35"/>
      <c r="H24" s="35" t="s">
        <v>771</v>
      </c>
      <c r="I24" s="36" t="s">
        <v>772</v>
      </c>
      <c r="J24" s="21" t="s">
        <v>1060</v>
      </c>
    </row>
    <row r="25" spans="2:10" ht="13.2" customHeight="1" x14ac:dyDescent="0.25">
      <c r="B25" s="34" t="s">
        <v>773</v>
      </c>
      <c r="C25" s="34" t="s">
        <v>1033</v>
      </c>
      <c r="D25" s="34" t="s">
        <v>1034</v>
      </c>
      <c r="E25" s="34" t="s">
        <v>1035</v>
      </c>
      <c r="F25" s="35"/>
      <c r="G25" s="35"/>
      <c r="H25" s="35"/>
      <c r="J25" s="21" t="s">
        <v>1036</v>
      </c>
    </row>
    <row r="26" spans="2:10" ht="13.2" customHeight="1" x14ac:dyDescent="0.25">
      <c r="B26" s="34" t="s">
        <v>774</v>
      </c>
      <c r="C26" s="34" t="s">
        <v>1181</v>
      </c>
      <c r="D26" s="34" t="s">
        <v>1182</v>
      </c>
      <c r="E26" s="34" t="s">
        <v>1183</v>
      </c>
      <c r="F26" s="35" t="s">
        <v>775</v>
      </c>
      <c r="G26" s="35" t="s">
        <v>776</v>
      </c>
      <c r="H26" s="35" t="s">
        <v>777</v>
      </c>
      <c r="I26" s="36" t="s">
        <v>778</v>
      </c>
      <c r="J26" s="21" t="s">
        <v>1036</v>
      </c>
    </row>
    <row r="27" spans="2:10" ht="13.2" customHeight="1" x14ac:dyDescent="0.25">
      <c r="B27" s="34" t="s">
        <v>779</v>
      </c>
      <c r="C27" s="34" t="s">
        <v>1161</v>
      </c>
      <c r="D27" s="34" t="s">
        <v>1162</v>
      </c>
      <c r="E27" s="34" t="s">
        <v>1163</v>
      </c>
      <c r="F27" s="35" t="s">
        <v>780</v>
      </c>
      <c r="G27" s="35" t="s">
        <v>781</v>
      </c>
      <c r="H27" s="35"/>
      <c r="J27" s="21" t="s">
        <v>1036</v>
      </c>
    </row>
    <row r="28" spans="2:10" ht="13.2" customHeight="1" x14ac:dyDescent="0.25">
      <c r="B28" s="34" t="s">
        <v>782</v>
      </c>
      <c r="C28" s="34" t="s">
        <v>1131</v>
      </c>
      <c r="D28" s="37" t="s">
        <v>1132</v>
      </c>
      <c r="E28" s="34" t="s">
        <v>1133</v>
      </c>
      <c r="F28" s="35" t="s">
        <v>783</v>
      </c>
      <c r="G28" s="35"/>
      <c r="H28" s="35"/>
      <c r="J28" s="21" t="s">
        <v>1040</v>
      </c>
    </row>
    <row r="29" spans="2:10" ht="13.2" customHeight="1" x14ac:dyDescent="0.25">
      <c r="B29" s="34" t="s">
        <v>784</v>
      </c>
      <c r="C29" s="34" t="s">
        <v>1266</v>
      </c>
      <c r="D29" s="34" t="s">
        <v>1267</v>
      </c>
      <c r="E29" s="34" t="s">
        <v>1268</v>
      </c>
      <c r="F29" s="35" t="s">
        <v>794</v>
      </c>
      <c r="G29" s="35" t="s">
        <v>795</v>
      </c>
      <c r="H29" s="35" t="s">
        <v>796</v>
      </c>
      <c r="I29" s="36" t="s">
        <v>797</v>
      </c>
      <c r="J29" s="21" t="s">
        <v>1060</v>
      </c>
    </row>
    <row r="30" spans="2:10" ht="13.2" customHeight="1" x14ac:dyDescent="0.25">
      <c r="B30" s="34" t="s">
        <v>800</v>
      </c>
      <c r="C30" s="34" t="s">
        <v>1134</v>
      </c>
      <c r="D30" s="34" t="s">
        <v>1135</v>
      </c>
      <c r="E30" s="34" t="s">
        <v>1136</v>
      </c>
      <c r="F30" s="35"/>
      <c r="G30" s="35"/>
      <c r="H30" s="35" t="s">
        <v>801</v>
      </c>
      <c r="J30" s="21" t="s">
        <v>1036</v>
      </c>
    </row>
    <row r="31" spans="2:10" ht="13.2" customHeight="1" x14ac:dyDescent="0.25">
      <c r="B31" s="34" t="s">
        <v>802</v>
      </c>
      <c r="C31" s="34" t="s">
        <v>1332</v>
      </c>
      <c r="D31" s="34" t="s">
        <v>1333</v>
      </c>
      <c r="E31" s="34" t="s">
        <v>1334</v>
      </c>
      <c r="F31" s="43" t="s">
        <v>803</v>
      </c>
      <c r="G31" s="43" t="s">
        <v>804</v>
      </c>
      <c r="H31" s="42"/>
      <c r="I31" s="44" t="s">
        <v>805</v>
      </c>
      <c r="J31" s="21" t="s">
        <v>726</v>
      </c>
    </row>
    <row r="32" spans="2:10" ht="13.2" customHeight="1" x14ac:dyDescent="0.25">
      <c r="B32" s="34" t="s">
        <v>1235</v>
      </c>
      <c r="C32" s="34" t="s">
        <v>1236</v>
      </c>
      <c r="D32" s="36" t="s">
        <v>1237</v>
      </c>
      <c r="E32" s="34" t="s">
        <v>1238</v>
      </c>
      <c r="F32" s="35" t="s">
        <v>1239</v>
      </c>
      <c r="G32" s="35" t="s">
        <v>1240</v>
      </c>
      <c r="H32" s="35"/>
      <c r="I32" s="38" t="s">
        <v>1241</v>
      </c>
      <c r="J32" s="21" t="s">
        <v>1060</v>
      </c>
    </row>
    <row r="33" spans="2:10" ht="13.2" customHeight="1" x14ac:dyDescent="0.25">
      <c r="B33" s="34" t="s">
        <v>1476</v>
      </c>
      <c r="C33" s="34" t="s">
        <v>1477</v>
      </c>
      <c r="D33" s="36" t="s">
        <v>1478</v>
      </c>
      <c r="E33" s="34" t="s">
        <v>1479</v>
      </c>
      <c r="F33" s="36"/>
      <c r="G33" s="35"/>
      <c r="H33" s="41"/>
      <c r="I33" s="34"/>
      <c r="J33" s="21" t="s">
        <v>726</v>
      </c>
    </row>
    <row r="34" spans="2:10" ht="13.2" customHeight="1" x14ac:dyDescent="0.25">
      <c r="B34" s="34" t="s">
        <v>806</v>
      </c>
      <c r="C34" s="34" t="s">
        <v>1172</v>
      </c>
      <c r="D34" s="34" t="s">
        <v>1173</v>
      </c>
      <c r="E34" s="34" t="s">
        <v>1174</v>
      </c>
      <c r="F34" s="35" t="s">
        <v>813</v>
      </c>
      <c r="G34" s="35" t="s">
        <v>814</v>
      </c>
      <c r="H34" s="35"/>
      <c r="J34" s="21" t="s">
        <v>1036</v>
      </c>
    </row>
    <row r="35" spans="2:10" ht="13.2" customHeight="1" x14ac:dyDescent="0.25">
      <c r="B35" s="34" t="s">
        <v>1462</v>
      </c>
      <c r="C35" s="34" t="s">
        <v>1463</v>
      </c>
      <c r="D35" s="36" t="s">
        <v>1464</v>
      </c>
      <c r="E35" s="34" t="s">
        <v>1465</v>
      </c>
      <c r="F35" s="35" t="s">
        <v>1466</v>
      </c>
      <c r="G35" s="35" t="s">
        <v>1467</v>
      </c>
      <c r="H35" s="41"/>
      <c r="I35" s="34" t="s">
        <v>1468</v>
      </c>
      <c r="J35" s="21" t="s">
        <v>726</v>
      </c>
    </row>
    <row r="36" spans="2:10" ht="13.2" customHeight="1" x14ac:dyDescent="0.25">
      <c r="B36" s="34" t="s">
        <v>815</v>
      </c>
      <c r="C36" s="34" t="s">
        <v>1524</v>
      </c>
      <c r="D36" s="34" t="s">
        <v>1525</v>
      </c>
      <c r="E36" s="34" t="s">
        <v>1526</v>
      </c>
      <c r="F36" s="35" t="s">
        <v>816</v>
      </c>
      <c r="G36" s="35"/>
      <c r="H36" s="42"/>
      <c r="I36" s="34"/>
      <c r="J36" s="21" t="s">
        <v>726</v>
      </c>
    </row>
    <row r="37" spans="2:10" ht="13.2" customHeight="1" x14ac:dyDescent="0.25">
      <c r="B37" s="34" t="s">
        <v>1596</v>
      </c>
      <c r="C37" s="34" t="s">
        <v>1606</v>
      </c>
      <c r="D37" s="34"/>
      <c r="E37" s="34"/>
      <c r="F37" s="35" t="s">
        <v>1607</v>
      </c>
      <c r="G37" s="35" t="s">
        <v>1608</v>
      </c>
      <c r="H37" s="42" t="s">
        <v>651</v>
      </c>
      <c r="I37" s="34" t="s">
        <v>1609</v>
      </c>
      <c r="J37" s="21" t="s">
        <v>1040</v>
      </c>
    </row>
    <row r="38" spans="2:10" ht="13.2" customHeight="1" x14ac:dyDescent="0.25">
      <c r="B38" s="34" t="s">
        <v>817</v>
      </c>
      <c r="C38" s="34" t="s">
        <v>818</v>
      </c>
      <c r="D38" s="34" t="s">
        <v>1509</v>
      </c>
      <c r="E38" s="34" t="s">
        <v>1510</v>
      </c>
      <c r="F38" s="35" t="s">
        <v>819</v>
      </c>
      <c r="G38" s="35"/>
      <c r="H38" s="42"/>
      <c r="I38" s="34"/>
      <c r="J38" s="21" t="s">
        <v>726</v>
      </c>
    </row>
    <row r="39" spans="2:10" ht="13.2" customHeight="1" x14ac:dyDescent="0.25">
      <c r="B39" s="34" t="s">
        <v>1115</v>
      </c>
      <c r="C39" s="34" t="s">
        <v>1116</v>
      </c>
      <c r="D39" s="36" t="s">
        <v>1117</v>
      </c>
      <c r="E39" s="36" t="s">
        <v>1085</v>
      </c>
      <c r="F39" s="35" t="s">
        <v>1118</v>
      </c>
      <c r="G39" s="35"/>
      <c r="H39" s="35"/>
      <c r="J39" s="21" t="s">
        <v>1060</v>
      </c>
    </row>
    <row r="40" spans="2:10" ht="13.2" customHeight="1" x14ac:dyDescent="0.25">
      <c r="B40" s="34" t="s">
        <v>820</v>
      </c>
      <c r="C40" s="34" t="s">
        <v>1378</v>
      </c>
      <c r="D40" s="34" t="s">
        <v>1379</v>
      </c>
      <c r="E40" s="34" t="s">
        <v>1380</v>
      </c>
      <c r="F40" s="35" t="s">
        <v>821</v>
      </c>
      <c r="G40" s="35" t="s">
        <v>822</v>
      </c>
      <c r="H40" s="45" t="s">
        <v>823</v>
      </c>
      <c r="I40" s="34" t="s">
        <v>824</v>
      </c>
      <c r="J40" s="21" t="s">
        <v>726</v>
      </c>
    </row>
    <row r="41" spans="2:10" ht="13.2" customHeight="1" x14ac:dyDescent="0.25">
      <c r="B41" s="34" t="s">
        <v>1454</v>
      </c>
      <c r="C41" s="34" t="s">
        <v>1455</v>
      </c>
      <c r="D41" s="34" t="s">
        <v>1456</v>
      </c>
      <c r="E41" s="34" t="s">
        <v>1457</v>
      </c>
      <c r="F41" s="35" t="s">
        <v>1458</v>
      </c>
      <c r="G41" s="35" t="s">
        <v>1459</v>
      </c>
      <c r="H41" s="42" t="s">
        <v>1460</v>
      </c>
      <c r="I41" s="34" t="s">
        <v>1461</v>
      </c>
      <c r="J41" s="21" t="s">
        <v>726</v>
      </c>
    </row>
    <row r="42" spans="2:10" ht="13.2" customHeight="1" x14ac:dyDescent="0.25">
      <c r="B42" s="34" t="s">
        <v>1221</v>
      </c>
      <c r="C42" s="34" t="s">
        <v>1222</v>
      </c>
      <c r="D42" s="36" t="s">
        <v>1223</v>
      </c>
      <c r="E42" s="34" t="s">
        <v>1224</v>
      </c>
      <c r="F42" s="35" t="s">
        <v>1225</v>
      </c>
      <c r="G42" s="35" t="s">
        <v>1226</v>
      </c>
      <c r="H42" s="35"/>
      <c r="I42" s="36" t="s">
        <v>1234</v>
      </c>
      <c r="J42" s="21" t="s">
        <v>1060</v>
      </c>
    </row>
    <row r="43" spans="2:10" ht="13.2" customHeight="1" x14ac:dyDescent="0.25">
      <c r="B43" s="34" t="s">
        <v>825</v>
      </c>
      <c r="C43" s="34" t="s">
        <v>1072</v>
      </c>
      <c r="D43" s="34" t="s">
        <v>1073</v>
      </c>
      <c r="E43" s="34" t="s">
        <v>1074</v>
      </c>
      <c r="F43" s="35" t="s">
        <v>826</v>
      </c>
      <c r="G43" s="35" t="s">
        <v>827</v>
      </c>
      <c r="H43" s="35"/>
      <c r="J43" s="21" t="s">
        <v>1060</v>
      </c>
    </row>
    <row r="44" spans="2:10" ht="13.2" customHeight="1" x14ac:dyDescent="0.25">
      <c r="B44" s="34" t="s">
        <v>828</v>
      </c>
      <c r="C44" s="34" t="s">
        <v>1307</v>
      </c>
      <c r="D44" s="34" t="s">
        <v>1308</v>
      </c>
      <c r="E44" s="34" t="s">
        <v>1309</v>
      </c>
      <c r="F44" s="35" t="s">
        <v>829</v>
      </c>
      <c r="G44" s="35"/>
      <c r="H44" s="42"/>
      <c r="I44" s="34"/>
      <c r="J44" s="21" t="s">
        <v>726</v>
      </c>
    </row>
    <row r="45" spans="2:10" ht="13.2" customHeight="1" x14ac:dyDescent="0.25">
      <c r="B45" s="34" t="s">
        <v>830</v>
      </c>
      <c r="C45" s="34" t="s">
        <v>1175</v>
      </c>
      <c r="D45" s="34" t="s">
        <v>1176</v>
      </c>
      <c r="E45" s="34" t="s">
        <v>1177</v>
      </c>
      <c r="F45" s="35" t="s">
        <v>831</v>
      </c>
      <c r="G45" s="35" t="s">
        <v>832</v>
      </c>
      <c r="H45" s="35"/>
      <c r="I45" s="36" t="s">
        <v>833</v>
      </c>
      <c r="J45" s="21" t="s">
        <v>1040</v>
      </c>
    </row>
    <row r="46" spans="2:10" ht="13.2" customHeight="1" x14ac:dyDescent="0.25">
      <c r="B46" s="34" t="s">
        <v>1556</v>
      </c>
      <c r="C46" s="34" t="s">
        <v>1565</v>
      </c>
      <c r="D46" s="36" t="s">
        <v>1566</v>
      </c>
      <c r="E46" s="34" t="s">
        <v>1567</v>
      </c>
      <c r="F46" s="36" t="s">
        <v>1568</v>
      </c>
      <c r="G46" s="35" t="s">
        <v>1569</v>
      </c>
      <c r="H46" s="41"/>
      <c r="I46" s="44" t="s">
        <v>1570</v>
      </c>
      <c r="J46" s="21" t="s">
        <v>726</v>
      </c>
    </row>
    <row r="47" spans="2:10" ht="13.2" customHeight="1" x14ac:dyDescent="0.25">
      <c r="B47" s="34" t="s">
        <v>1592</v>
      </c>
      <c r="C47" s="34" t="s">
        <v>1593</v>
      </c>
      <c r="D47" s="34"/>
      <c r="E47" s="34"/>
      <c r="F47" s="35" t="s">
        <v>1594</v>
      </c>
      <c r="G47" s="35" t="s">
        <v>1595</v>
      </c>
      <c r="H47" s="42" t="s">
        <v>651</v>
      </c>
      <c r="I47" s="34"/>
      <c r="J47" s="21" t="s">
        <v>1036</v>
      </c>
    </row>
    <row r="48" spans="2:10" ht="13.2" customHeight="1" x14ac:dyDescent="0.25">
      <c r="B48" s="34" t="s">
        <v>1216</v>
      </c>
      <c r="C48" s="34" t="s">
        <v>1217</v>
      </c>
      <c r="D48" s="36" t="s">
        <v>1218</v>
      </c>
      <c r="E48" s="34" t="s">
        <v>1219</v>
      </c>
      <c r="F48" s="35" t="s">
        <v>1220</v>
      </c>
      <c r="G48" s="35"/>
      <c r="H48" s="35"/>
      <c r="J48" s="21" t="s">
        <v>1060</v>
      </c>
    </row>
    <row r="49" spans="2:10" ht="13.2" customHeight="1" x14ac:dyDescent="0.25">
      <c r="B49" s="37" t="s">
        <v>840</v>
      </c>
      <c r="C49" s="37" t="s">
        <v>1313</v>
      </c>
      <c r="D49" s="34" t="s">
        <v>1314</v>
      </c>
      <c r="E49" s="34" t="s">
        <v>1315</v>
      </c>
      <c r="F49" s="35" t="s">
        <v>841</v>
      </c>
      <c r="G49" s="35"/>
      <c r="H49" s="42"/>
      <c r="I49" s="34"/>
      <c r="J49" s="21" t="s">
        <v>726</v>
      </c>
    </row>
    <row r="50" spans="2:10" ht="13.2" customHeight="1" x14ac:dyDescent="0.25">
      <c r="B50" s="34" t="s">
        <v>842</v>
      </c>
      <c r="C50" s="34" t="s">
        <v>1310</v>
      </c>
      <c r="D50" s="34" t="s">
        <v>1311</v>
      </c>
      <c r="E50" s="34" t="s">
        <v>1312</v>
      </c>
      <c r="F50" s="35" t="s">
        <v>843</v>
      </c>
      <c r="G50" s="35"/>
      <c r="H50" s="42"/>
      <c r="I50" s="34"/>
      <c r="J50" s="21" t="s">
        <v>726</v>
      </c>
    </row>
    <row r="51" spans="2:10" ht="13.2" customHeight="1" x14ac:dyDescent="0.25">
      <c r="B51" s="34" t="s">
        <v>1586</v>
      </c>
      <c r="C51" s="34" t="s">
        <v>1587</v>
      </c>
      <c r="D51" s="34"/>
      <c r="E51" s="34"/>
      <c r="F51" s="35" t="s">
        <v>1588</v>
      </c>
      <c r="G51" s="35" t="s">
        <v>1589</v>
      </c>
      <c r="H51" s="42" t="s">
        <v>1590</v>
      </c>
      <c r="I51" s="34" t="s">
        <v>1591</v>
      </c>
      <c r="J51" s="21" t="s">
        <v>1040</v>
      </c>
    </row>
    <row r="52" spans="2:10" ht="13.2" customHeight="1" x14ac:dyDescent="0.25">
      <c r="B52" s="34" t="s">
        <v>844</v>
      </c>
      <c r="C52" s="34" t="s">
        <v>1260</v>
      </c>
      <c r="D52" s="34" t="s">
        <v>1261</v>
      </c>
      <c r="E52" s="34" t="s">
        <v>1262</v>
      </c>
      <c r="F52" s="35" t="s">
        <v>845</v>
      </c>
      <c r="G52" s="35" t="s">
        <v>846</v>
      </c>
      <c r="H52" s="35"/>
      <c r="I52" s="40" t="s">
        <v>847</v>
      </c>
      <c r="J52" s="21" t="s">
        <v>1036</v>
      </c>
    </row>
    <row r="53" spans="2:10" ht="13.2" customHeight="1" x14ac:dyDescent="0.25">
      <c r="B53" s="34" t="s">
        <v>848</v>
      </c>
      <c r="C53" s="34" t="s">
        <v>849</v>
      </c>
      <c r="D53" s="34" t="s">
        <v>1137</v>
      </c>
      <c r="E53" s="34" t="s">
        <v>1154</v>
      </c>
      <c r="F53" s="35" t="s">
        <v>850</v>
      </c>
      <c r="G53" s="35"/>
      <c r="H53" s="35"/>
      <c r="J53" s="21" t="s">
        <v>1040</v>
      </c>
    </row>
    <row r="54" spans="2:10" ht="13.2" customHeight="1" x14ac:dyDescent="0.25">
      <c r="B54" s="34" t="s">
        <v>851</v>
      </c>
      <c r="C54" s="34" t="s">
        <v>1170</v>
      </c>
      <c r="D54" s="34" t="s">
        <v>1171</v>
      </c>
      <c r="E54" s="34" t="s">
        <v>1113</v>
      </c>
      <c r="F54" s="35" t="s">
        <v>852</v>
      </c>
      <c r="G54" s="35"/>
      <c r="H54" s="35"/>
      <c r="J54" s="21" t="s">
        <v>1060</v>
      </c>
    </row>
    <row r="55" spans="2:10" ht="13.2" customHeight="1" x14ac:dyDescent="0.25">
      <c r="B55" s="34" t="s">
        <v>853</v>
      </c>
      <c r="C55" s="34" t="s">
        <v>1186</v>
      </c>
      <c r="D55" s="34" t="s">
        <v>1196</v>
      </c>
      <c r="E55" s="34" t="s">
        <v>1197</v>
      </c>
      <c r="F55" s="35" t="s">
        <v>854</v>
      </c>
      <c r="G55" s="35" t="s">
        <v>855</v>
      </c>
      <c r="H55" s="35" t="s">
        <v>856</v>
      </c>
      <c r="J55" s="21" t="s">
        <v>1036</v>
      </c>
    </row>
    <row r="56" spans="2:10" ht="13.2" customHeight="1" x14ac:dyDescent="0.25">
      <c r="B56" s="34" t="s">
        <v>857</v>
      </c>
      <c r="C56" s="34" t="s">
        <v>1198</v>
      </c>
      <c r="D56" s="34" t="s">
        <v>1199</v>
      </c>
      <c r="E56" s="34" t="s">
        <v>1200</v>
      </c>
      <c r="F56" s="35" t="s">
        <v>858</v>
      </c>
      <c r="G56" s="35"/>
      <c r="H56" s="35"/>
      <c r="J56" s="21" t="s">
        <v>1060</v>
      </c>
    </row>
    <row r="57" spans="2:10" ht="13.2" customHeight="1" x14ac:dyDescent="0.25">
      <c r="B57" s="34" t="s">
        <v>1242</v>
      </c>
      <c r="C57" s="34" t="s">
        <v>1243</v>
      </c>
      <c r="D57" s="36" t="s">
        <v>1244</v>
      </c>
      <c r="E57" s="34" t="s">
        <v>1245</v>
      </c>
      <c r="F57" s="35" t="s">
        <v>1246</v>
      </c>
      <c r="G57" s="35"/>
      <c r="H57" s="35"/>
      <c r="J57" s="21" t="s">
        <v>1060</v>
      </c>
    </row>
    <row r="58" spans="2:10" ht="13.2" customHeight="1" x14ac:dyDescent="0.25">
      <c r="B58" s="101" t="s">
        <v>95</v>
      </c>
      <c r="C58" s="101" t="s">
        <v>96</v>
      </c>
      <c r="D58" s="101" t="s">
        <v>97</v>
      </c>
      <c r="E58" s="101" t="s">
        <v>98</v>
      </c>
      <c r="F58" s="102"/>
      <c r="G58" s="102"/>
      <c r="H58" s="103"/>
      <c r="I58" s="104"/>
      <c r="J58" s="105" t="s">
        <v>112</v>
      </c>
    </row>
    <row r="59" spans="2:10" ht="13.2" customHeight="1" x14ac:dyDescent="0.25">
      <c r="B59" s="44" t="s">
        <v>877</v>
      </c>
      <c r="C59" s="44" t="s">
        <v>1370</v>
      </c>
      <c r="D59" s="34" t="s">
        <v>1371</v>
      </c>
      <c r="E59" s="34" t="s">
        <v>1372</v>
      </c>
      <c r="F59" s="35" t="s">
        <v>878</v>
      </c>
      <c r="G59" s="35"/>
      <c r="H59" s="42"/>
      <c r="I59" s="34"/>
      <c r="J59" s="21" t="s">
        <v>726</v>
      </c>
    </row>
    <row r="60" spans="2:10" ht="13.2" customHeight="1" x14ac:dyDescent="0.25">
      <c r="B60" s="34" t="s">
        <v>879</v>
      </c>
      <c r="C60" s="34" t="s">
        <v>1399</v>
      </c>
      <c r="D60" s="34" t="s">
        <v>1400</v>
      </c>
      <c r="E60" s="34" t="s">
        <v>1401</v>
      </c>
      <c r="F60" s="35" t="s">
        <v>880</v>
      </c>
      <c r="G60" s="35" t="s">
        <v>881</v>
      </c>
      <c r="H60" s="42" t="s">
        <v>882</v>
      </c>
      <c r="I60" s="34" t="s">
        <v>883</v>
      </c>
      <c r="J60" s="21" t="s">
        <v>726</v>
      </c>
    </row>
    <row r="61" spans="2:10" ht="13.2" customHeight="1" x14ac:dyDescent="0.25">
      <c r="B61" s="34" t="s">
        <v>884</v>
      </c>
      <c r="C61" s="34" t="s">
        <v>1075</v>
      </c>
      <c r="D61" s="34" t="s">
        <v>1076</v>
      </c>
      <c r="E61" s="34" t="s">
        <v>1077</v>
      </c>
      <c r="F61" s="35" t="s">
        <v>885</v>
      </c>
      <c r="G61" s="35" t="s">
        <v>886</v>
      </c>
      <c r="H61" s="35"/>
      <c r="J61" s="21" t="s">
        <v>1060</v>
      </c>
    </row>
    <row r="62" spans="2:10" ht="13.2" customHeight="1" x14ac:dyDescent="0.25">
      <c r="B62" s="34" t="s">
        <v>887</v>
      </c>
      <c r="C62" s="34" t="s">
        <v>1506</v>
      </c>
      <c r="D62" s="34" t="s">
        <v>1507</v>
      </c>
      <c r="E62" s="34" t="s">
        <v>1508</v>
      </c>
      <c r="F62" s="35" t="s">
        <v>888</v>
      </c>
      <c r="G62" s="35"/>
      <c r="H62" s="42"/>
      <c r="I62" s="34"/>
      <c r="J62" s="21" t="s">
        <v>726</v>
      </c>
    </row>
    <row r="63" spans="2:10" ht="13.2" customHeight="1" x14ac:dyDescent="0.25">
      <c r="B63" s="34" t="s">
        <v>889</v>
      </c>
      <c r="C63" s="34" t="s">
        <v>1263</v>
      </c>
      <c r="D63" s="34" t="s">
        <v>1264</v>
      </c>
      <c r="E63" s="34" t="s">
        <v>1265</v>
      </c>
      <c r="F63" s="35" t="s">
        <v>890</v>
      </c>
      <c r="G63" s="35"/>
      <c r="H63" s="35" t="s">
        <v>891</v>
      </c>
      <c r="J63" s="21" t="s">
        <v>1036</v>
      </c>
    </row>
    <row r="64" spans="2:10" ht="13.2" customHeight="1" x14ac:dyDescent="0.25">
      <c r="B64" s="34" t="s">
        <v>1211</v>
      </c>
      <c r="C64" s="34" t="s">
        <v>1212</v>
      </c>
      <c r="D64" s="36" t="s">
        <v>1213</v>
      </c>
      <c r="E64" s="34" t="s">
        <v>1214</v>
      </c>
      <c r="F64" s="35" t="s">
        <v>1215</v>
      </c>
      <c r="G64" s="35"/>
      <c r="H64" s="35"/>
      <c r="J64" s="21" t="s">
        <v>1060</v>
      </c>
    </row>
    <row r="65" spans="2:10" ht="13.2" customHeight="1" x14ac:dyDescent="0.25">
      <c r="B65" s="34" t="s">
        <v>892</v>
      </c>
      <c r="C65" s="34" t="s">
        <v>1081</v>
      </c>
      <c r="D65" s="34" t="s">
        <v>1082</v>
      </c>
      <c r="E65" s="34" t="s">
        <v>1083</v>
      </c>
      <c r="F65" s="35" t="s">
        <v>893</v>
      </c>
      <c r="G65" s="35"/>
      <c r="H65" s="35" t="s">
        <v>894</v>
      </c>
      <c r="J65" s="21" t="s">
        <v>1060</v>
      </c>
    </row>
    <row r="66" spans="2:10" ht="13.2" customHeight="1" x14ac:dyDescent="0.25">
      <c r="B66" s="34" t="s">
        <v>895</v>
      </c>
      <c r="C66" s="34" t="s">
        <v>1316</v>
      </c>
      <c r="D66" s="37" t="s">
        <v>1317</v>
      </c>
      <c r="E66" s="37" t="s">
        <v>1331</v>
      </c>
      <c r="F66" s="43" t="s">
        <v>742</v>
      </c>
      <c r="G66" s="43" t="s">
        <v>896</v>
      </c>
      <c r="H66" s="42"/>
      <c r="I66" s="44" t="s">
        <v>897</v>
      </c>
      <c r="J66" s="21" t="s">
        <v>726</v>
      </c>
    </row>
    <row r="67" spans="2:10" ht="13.2" customHeight="1" x14ac:dyDescent="0.25">
      <c r="B67" s="34" t="s">
        <v>898</v>
      </c>
      <c r="C67" s="34" t="s">
        <v>1381</v>
      </c>
      <c r="D67" s="34" t="s">
        <v>1382</v>
      </c>
      <c r="E67" s="34" t="s">
        <v>1383</v>
      </c>
      <c r="F67" s="35" t="s">
        <v>899</v>
      </c>
      <c r="G67" s="35" t="s">
        <v>900</v>
      </c>
      <c r="H67" s="42"/>
      <c r="I67" s="34"/>
      <c r="J67" s="21" t="s">
        <v>726</v>
      </c>
    </row>
    <row r="68" spans="2:10" ht="13.2" customHeight="1" x14ac:dyDescent="0.25">
      <c r="B68" s="34" t="s">
        <v>1469</v>
      </c>
      <c r="C68" s="34" t="s">
        <v>1470</v>
      </c>
      <c r="D68" s="36" t="s">
        <v>1471</v>
      </c>
      <c r="E68" s="34" t="s">
        <v>1472</v>
      </c>
      <c r="F68" s="35" t="s">
        <v>1473</v>
      </c>
      <c r="G68" s="35"/>
      <c r="H68" s="42" t="s">
        <v>1474</v>
      </c>
      <c r="I68" s="44" t="s">
        <v>1475</v>
      </c>
      <c r="J68" s="21" t="s">
        <v>726</v>
      </c>
    </row>
    <row r="69" spans="2:10" ht="13.2" customHeight="1" x14ac:dyDescent="0.25">
      <c r="B69" s="34" t="s">
        <v>901</v>
      </c>
      <c r="C69" s="34" t="s">
        <v>1384</v>
      </c>
      <c r="D69" s="34" t="s">
        <v>1385</v>
      </c>
      <c r="E69" s="34" t="s">
        <v>1386</v>
      </c>
      <c r="F69" s="35" t="s">
        <v>902</v>
      </c>
      <c r="G69" s="35" t="s">
        <v>903</v>
      </c>
      <c r="H69" s="42" t="s">
        <v>904</v>
      </c>
      <c r="I69" s="34"/>
      <c r="J69" s="21" t="s">
        <v>726</v>
      </c>
    </row>
    <row r="70" spans="2:10" ht="13.2" customHeight="1" x14ac:dyDescent="0.25">
      <c r="B70" s="34" t="s">
        <v>905</v>
      </c>
      <c r="C70" s="34" t="s">
        <v>1158</v>
      </c>
      <c r="D70" s="34" t="s">
        <v>1159</v>
      </c>
      <c r="E70" s="34" t="s">
        <v>1160</v>
      </c>
      <c r="F70" s="35" t="s">
        <v>906</v>
      </c>
      <c r="G70" s="35"/>
      <c r="H70" s="35"/>
      <c r="J70" s="21" t="s">
        <v>1036</v>
      </c>
    </row>
    <row r="71" spans="2:10" ht="13.2" customHeight="1" x14ac:dyDescent="0.25">
      <c r="B71" s="34" t="s">
        <v>1110</v>
      </c>
      <c r="C71" s="34" t="s">
        <v>1111</v>
      </c>
      <c r="D71" s="36" t="s">
        <v>1112</v>
      </c>
      <c r="E71" s="36" t="s">
        <v>1113</v>
      </c>
      <c r="F71" s="35" t="s">
        <v>1114</v>
      </c>
      <c r="G71" s="35"/>
      <c r="H71" s="35"/>
      <c r="J71" s="21" t="s">
        <v>1060</v>
      </c>
    </row>
    <row r="72" spans="2:10" ht="13.2" customHeight="1" x14ac:dyDescent="0.25">
      <c r="B72" s="34" t="s">
        <v>1580</v>
      </c>
      <c r="C72" s="34" t="s">
        <v>1581</v>
      </c>
      <c r="D72" s="34"/>
      <c r="E72" s="34"/>
      <c r="F72" s="35" t="s">
        <v>1582</v>
      </c>
      <c r="G72" s="35" t="s">
        <v>1583</v>
      </c>
      <c r="H72" s="42" t="s">
        <v>1584</v>
      </c>
      <c r="I72" s="34" t="s">
        <v>1585</v>
      </c>
      <c r="J72" s="21" t="s">
        <v>1040</v>
      </c>
    </row>
    <row r="73" spans="2:10" ht="13.2" customHeight="1" x14ac:dyDescent="0.25">
      <c r="B73" s="34" t="s">
        <v>907</v>
      </c>
      <c r="C73" s="34" t="s">
        <v>1178</v>
      </c>
      <c r="D73" s="34" t="s">
        <v>1179</v>
      </c>
      <c r="E73" s="34" t="s">
        <v>1180</v>
      </c>
      <c r="F73" s="35" t="s">
        <v>908</v>
      </c>
      <c r="G73" s="35"/>
      <c r="H73" s="35"/>
      <c r="J73" s="21" t="s">
        <v>1040</v>
      </c>
    </row>
    <row r="74" spans="2:10" ht="13.2" customHeight="1" x14ac:dyDescent="0.25">
      <c r="B74" s="34" t="s">
        <v>909</v>
      </c>
      <c r="C74" s="34" t="s">
        <v>1376</v>
      </c>
      <c r="D74" s="37" t="s">
        <v>1377</v>
      </c>
      <c r="E74" s="37" t="s">
        <v>1337</v>
      </c>
      <c r="F74" s="43" t="s">
        <v>910</v>
      </c>
      <c r="G74" s="43" t="s">
        <v>911</v>
      </c>
      <c r="H74" s="42"/>
      <c r="I74" s="44" t="s">
        <v>912</v>
      </c>
      <c r="J74" s="21" t="s">
        <v>726</v>
      </c>
    </row>
    <row r="75" spans="2:10" ht="13.2" customHeight="1" x14ac:dyDescent="0.25">
      <c r="B75" s="37" t="s">
        <v>1549</v>
      </c>
      <c r="C75" s="37" t="s">
        <v>1550</v>
      </c>
      <c r="D75" s="48" t="s">
        <v>1551</v>
      </c>
      <c r="E75" s="37" t="s">
        <v>1552</v>
      </c>
      <c r="F75" s="43" t="s">
        <v>1553</v>
      </c>
      <c r="G75" s="43" t="s">
        <v>1554</v>
      </c>
      <c r="H75" s="43"/>
      <c r="I75" s="37" t="s">
        <v>1555</v>
      </c>
      <c r="J75" s="21" t="s">
        <v>726</v>
      </c>
    </row>
    <row r="76" spans="2:10" ht="13.2" customHeight="1" x14ac:dyDescent="0.25">
      <c r="B76" s="34" t="s">
        <v>1061</v>
      </c>
      <c r="C76" s="34" t="s">
        <v>1067</v>
      </c>
      <c r="D76" s="34" t="s">
        <v>1071</v>
      </c>
      <c r="E76" s="37" t="s">
        <v>1059</v>
      </c>
      <c r="F76" s="35" t="s">
        <v>913</v>
      </c>
      <c r="G76" s="35"/>
      <c r="H76" s="35" t="s">
        <v>930</v>
      </c>
      <c r="J76" s="21" t="s">
        <v>1060</v>
      </c>
    </row>
    <row r="77" spans="2:10" ht="13.2" customHeight="1" x14ac:dyDescent="0.25">
      <c r="B77" s="34" t="s">
        <v>931</v>
      </c>
      <c r="C77" s="34" t="s">
        <v>1269</v>
      </c>
      <c r="D77" s="34" t="s">
        <v>1270</v>
      </c>
      <c r="E77" s="34" t="s">
        <v>1271</v>
      </c>
      <c r="F77" s="35" t="s">
        <v>932</v>
      </c>
      <c r="G77" s="35" t="s">
        <v>933</v>
      </c>
      <c r="H77" s="35"/>
      <c r="J77" s="21" t="s">
        <v>1036</v>
      </c>
    </row>
    <row r="78" spans="2:10" ht="13.2" customHeight="1" x14ac:dyDescent="0.25">
      <c r="B78" s="34" t="s">
        <v>934</v>
      </c>
      <c r="C78" s="34" t="s">
        <v>1037</v>
      </c>
      <c r="D78" s="37" t="s">
        <v>1038</v>
      </c>
      <c r="E78" s="37" t="s">
        <v>1039</v>
      </c>
      <c r="F78" s="35" t="s">
        <v>935</v>
      </c>
      <c r="G78" s="35" t="s">
        <v>945</v>
      </c>
      <c r="H78" s="35"/>
      <c r="I78" s="38" t="s">
        <v>946</v>
      </c>
      <c r="J78" s="39" t="s">
        <v>1040</v>
      </c>
    </row>
    <row r="79" spans="2:10" ht="13.2" customHeight="1" x14ac:dyDescent="0.25">
      <c r="B79" s="34" t="s">
        <v>947</v>
      </c>
      <c r="C79" s="34" t="s">
        <v>1527</v>
      </c>
      <c r="D79" s="34" t="s">
        <v>1528</v>
      </c>
      <c r="E79" s="34" t="s">
        <v>1424</v>
      </c>
      <c r="F79" s="35" t="s">
        <v>948</v>
      </c>
      <c r="G79" s="35" t="s">
        <v>949</v>
      </c>
      <c r="H79" s="42"/>
      <c r="I79" s="34" t="s">
        <v>950</v>
      </c>
      <c r="J79" s="21" t="s">
        <v>726</v>
      </c>
    </row>
    <row r="80" spans="2:10" ht="13.2" customHeight="1" x14ac:dyDescent="0.25">
      <c r="B80" s="34" t="s">
        <v>951</v>
      </c>
      <c r="C80" s="34" t="s">
        <v>1407</v>
      </c>
      <c r="D80" s="34" t="s">
        <v>1408</v>
      </c>
      <c r="E80" s="34" t="s">
        <v>1409</v>
      </c>
      <c r="F80" s="35" t="s">
        <v>952</v>
      </c>
      <c r="G80" s="35"/>
      <c r="H80" s="42"/>
      <c r="I80" s="34"/>
      <c r="J80" s="21" t="s">
        <v>726</v>
      </c>
    </row>
    <row r="81" spans="2:10" ht="13.2" customHeight="1" x14ac:dyDescent="0.25">
      <c r="B81" s="34" t="s">
        <v>1272</v>
      </c>
      <c r="C81" s="34" t="s">
        <v>1273</v>
      </c>
      <c r="D81" s="34" t="s">
        <v>1274</v>
      </c>
      <c r="E81" s="34" t="s">
        <v>1275</v>
      </c>
      <c r="F81" s="35" t="s">
        <v>1276</v>
      </c>
      <c r="G81" s="35" t="s">
        <v>1277</v>
      </c>
      <c r="H81" s="35"/>
      <c r="I81" s="36" t="s">
        <v>1278</v>
      </c>
      <c r="J81" s="21" t="s">
        <v>1060</v>
      </c>
    </row>
    <row r="82" spans="2:10" ht="13.2" customHeight="1" x14ac:dyDescent="0.25">
      <c r="B82" s="34" t="s">
        <v>953</v>
      </c>
      <c r="C82" s="34" t="s">
        <v>1335</v>
      </c>
      <c r="D82" s="37" t="s">
        <v>1336</v>
      </c>
      <c r="E82" s="37" t="s">
        <v>1337</v>
      </c>
      <c r="F82" s="43" t="s">
        <v>954</v>
      </c>
      <c r="G82" s="43" t="s">
        <v>955</v>
      </c>
      <c r="H82" s="42"/>
      <c r="I82" s="44" t="s">
        <v>956</v>
      </c>
      <c r="J82" s="21" t="s">
        <v>726</v>
      </c>
    </row>
    <row r="83" spans="2:10" ht="13.2" customHeight="1" x14ac:dyDescent="0.25">
      <c r="B83" s="34" t="s">
        <v>957</v>
      </c>
      <c r="C83" s="34" t="s">
        <v>1041</v>
      </c>
      <c r="D83" s="34" t="s">
        <v>1058</v>
      </c>
      <c r="E83" s="37" t="s">
        <v>1059</v>
      </c>
      <c r="F83" s="35" t="s">
        <v>958</v>
      </c>
      <c r="G83" s="35"/>
      <c r="H83" s="35" t="s">
        <v>959</v>
      </c>
      <c r="I83" s="36" t="s">
        <v>960</v>
      </c>
      <c r="J83" s="35" t="s">
        <v>1060</v>
      </c>
    </row>
    <row r="84" spans="2:10" ht="13.2" customHeight="1" x14ac:dyDescent="0.25">
      <c r="B84" s="34" t="s">
        <v>961</v>
      </c>
      <c r="C84" s="34" t="s">
        <v>1078</v>
      </c>
      <c r="D84" s="34" t="s">
        <v>1079</v>
      </c>
      <c r="E84" s="34" t="s">
        <v>1080</v>
      </c>
      <c r="F84" s="35" t="s">
        <v>962</v>
      </c>
      <c r="G84" s="35" t="s">
        <v>963</v>
      </c>
      <c r="H84" s="35"/>
      <c r="J84" s="21" t="s">
        <v>1036</v>
      </c>
    </row>
    <row r="85" spans="2:10" ht="13.2" customHeight="1" x14ac:dyDescent="0.25">
      <c r="B85" s="34" t="s">
        <v>964</v>
      </c>
      <c r="C85" s="34" t="s">
        <v>1201</v>
      </c>
      <c r="D85" s="34" t="s">
        <v>1202</v>
      </c>
      <c r="E85" s="34" t="s">
        <v>1203</v>
      </c>
      <c r="F85" s="35" t="s">
        <v>965</v>
      </c>
      <c r="G85" s="35"/>
      <c r="H85" s="35"/>
      <c r="J85" s="21" t="s">
        <v>1040</v>
      </c>
    </row>
    <row r="86" spans="2:10" ht="13.2" customHeight="1" x14ac:dyDescent="0.25">
      <c r="B86" s="34" t="s">
        <v>966</v>
      </c>
      <c r="C86" s="34" t="s">
        <v>1119</v>
      </c>
      <c r="D86" s="34" t="s">
        <v>1120</v>
      </c>
      <c r="E86" s="34" t="s">
        <v>1121</v>
      </c>
      <c r="F86" s="35" t="s">
        <v>967</v>
      </c>
      <c r="G86" s="35"/>
      <c r="H86" s="35"/>
      <c r="J86" s="21" t="s">
        <v>1040</v>
      </c>
    </row>
    <row r="87" spans="2:10" ht="13.2" customHeight="1" x14ac:dyDescent="0.25">
      <c r="B87" s="34" t="s">
        <v>968</v>
      </c>
      <c r="C87" s="34" t="s">
        <v>1498</v>
      </c>
      <c r="D87" s="34" t="s">
        <v>1499</v>
      </c>
      <c r="E87" s="34" t="s">
        <v>1500</v>
      </c>
      <c r="F87" s="35" t="s">
        <v>969</v>
      </c>
      <c r="G87" s="35" t="s">
        <v>970</v>
      </c>
      <c r="H87" s="42"/>
      <c r="I87" s="44" t="s">
        <v>971</v>
      </c>
      <c r="J87" s="21" t="s">
        <v>726</v>
      </c>
    </row>
    <row r="88" spans="2:10" ht="13.2" customHeight="1" x14ac:dyDescent="0.25">
      <c r="B88" s="34" t="s">
        <v>1279</v>
      </c>
      <c r="C88" s="34" t="s">
        <v>1280</v>
      </c>
      <c r="D88" s="36" t="s">
        <v>1281</v>
      </c>
      <c r="E88" s="34" t="s">
        <v>1282</v>
      </c>
      <c r="F88" s="35" t="s">
        <v>1283</v>
      </c>
      <c r="G88" s="35" t="s">
        <v>1284</v>
      </c>
      <c r="H88" s="35"/>
      <c r="I88" s="36" t="s">
        <v>1285</v>
      </c>
      <c r="J88" s="21" t="s">
        <v>1036</v>
      </c>
    </row>
    <row r="89" spans="2:10" ht="13.2" customHeight="1" x14ac:dyDescent="0.25">
      <c r="B89" s="34" t="s">
        <v>1486</v>
      </c>
      <c r="C89" s="34" t="s">
        <v>1487</v>
      </c>
      <c r="D89" s="36" t="s">
        <v>1488</v>
      </c>
      <c r="E89" s="34" t="s">
        <v>1489</v>
      </c>
      <c r="F89" s="35" t="s">
        <v>1490</v>
      </c>
      <c r="G89" s="35" t="s">
        <v>1491</v>
      </c>
      <c r="H89" s="42" t="s">
        <v>1492</v>
      </c>
      <c r="I89" s="34"/>
      <c r="J89" s="21" t="s">
        <v>726</v>
      </c>
    </row>
    <row r="90" spans="2:10" ht="13.2" customHeight="1" x14ac:dyDescent="0.25">
      <c r="B90" s="34" t="s">
        <v>972</v>
      </c>
      <c r="C90" s="34" t="s">
        <v>1086</v>
      </c>
      <c r="D90" s="34" t="s">
        <v>1087</v>
      </c>
      <c r="E90" s="34" t="s">
        <v>1088</v>
      </c>
      <c r="F90" s="35" t="s">
        <v>973</v>
      </c>
      <c r="G90" s="35"/>
      <c r="H90" s="35"/>
      <c r="J90" s="21" t="s">
        <v>1036</v>
      </c>
    </row>
    <row r="91" spans="2:10" ht="13.2" customHeight="1" x14ac:dyDescent="0.25">
      <c r="B91" s="34" t="s">
        <v>972</v>
      </c>
      <c r="C91" s="34" t="s">
        <v>1086</v>
      </c>
      <c r="D91" s="34" t="s">
        <v>1087</v>
      </c>
      <c r="E91" s="34" t="s">
        <v>1088</v>
      </c>
      <c r="F91" s="35" t="s">
        <v>973</v>
      </c>
      <c r="G91" s="35"/>
      <c r="H91" s="35"/>
      <c r="J91" s="21" t="s">
        <v>1040</v>
      </c>
    </row>
    <row r="92" spans="2:10" ht="13.2" customHeight="1" x14ac:dyDescent="0.25">
      <c r="B92" s="34" t="s">
        <v>974</v>
      </c>
      <c r="C92" s="34" t="s">
        <v>1167</v>
      </c>
      <c r="D92" s="34" t="s">
        <v>1168</v>
      </c>
      <c r="E92" s="34" t="s">
        <v>1169</v>
      </c>
      <c r="F92" s="35" t="s">
        <v>975</v>
      </c>
      <c r="G92" s="35" t="s">
        <v>976</v>
      </c>
      <c r="H92" s="35"/>
      <c r="J92" s="21" t="s">
        <v>1036</v>
      </c>
    </row>
    <row r="93" spans="2:10" ht="13.2" customHeight="1" x14ac:dyDescent="0.25">
      <c r="B93" s="34" t="s">
        <v>977</v>
      </c>
      <c r="C93" s="34" t="s">
        <v>1404</v>
      </c>
      <c r="D93" s="34" t="s">
        <v>1405</v>
      </c>
      <c r="E93" s="34" t="s">
        <v>1406</v>
      </c>
      <c r="F93" s="35" t="s">
        <v>978</v>
      </c>
      <c r="G93" s="35" t="s">
        <v>979</v>
      </c>
      <c r="H93" s="42" t="s">
        <v>980</v>
      </c>
      <c r="I93" s="34"/>
      <c r="J93" s="21" t="s">
        <v>726</v>
      </c>
    </row>
    <row r="94" spans="2:10" ht="13.2" customHeight="1" x14ac:dyDescent="0.25">
      <c r="B94" s="34" t="s">
        <v>981</v>
      </c>
      <c r="C94" s="34" t="s">
        <v>1338</v>
      </c>
      <c r="D94" s="34" t="s">
        <v>1339</v>
      </c>
      <c r="E94" s="34" t="s">
        <v>1340</v>
      </c>
      <c r="F94" s="35" t="s">
        <v>982</v>
      </c>
      <c r="G94" s="35"/>
      <c r="H94" s="42"/>
      <c r="I94" s="34"/>
      <c r="J94" s="21" t="s">
        <v>726</v>
      </c>
    </row>
    <row r="95" spans="2:10" ht="13.2" customHeight="1" x14ac:dyDescent="0.25">
      <c r="B95" s="34" t="s">
        <v>1427</v>
      </c>
      <c r="C95" s="34" t="s">
        <v>1428</v>
      </c>
      <c r="D95" s="36" t="s">
        <v>1429</v>
      </c>
      <c r="E95" s="37" t="s">
        <v>1572</v>
      </c>
      <c r="F95" s="35" t="s">
        <v>1453</v>
      </c>
      <c r="G95" s="35"/>
      <c r="H95" s="35"/>
      <c r="I95" s="34"/>
      <c r="J95" s="21" t="s">
        <v>726</v>
      </c>
    </row>
    <row r="96" spans="2:10" ht="13.2" customHeight="1" x14ac:dyDescent="0.25">
      <c r="B96" s="34" t="s">
        <v>983</v>
      </c>
      <c r="C96" s="34" t="s">
        <v>1089</v>
      </c>
      <c r="D96" s="34" t="s">
        <v>1090</v>
      </c>
      <c r="E96" s="34" t="s">
        <v>1091</v>
      </c>
      <c r="F96" s="35" t="s">
        <v>984</v>
      </c>
      <c r="G96" s="35"/>
      <c r="H96" s="35"/>
      <c r="J96" s="21" t="s">
        <v>1060</v>
      </c>
    </row>
    <row r="97" spans="2:10" ht="13.2" customHeight="1" x14ac:dyDescent="0.25">
      <c r="B97" s="34" t="s">
        <v>985</v>
      </c>
      <c r="C97" s="34" t="s">
        <v>1425</v>
      </c>
      <c r="D97" s="34" t="s">
        <v>1426</v>
      </c>
      <c r="E97" s="37" t="s">
        <v>1571</v>
      </c>
      <c r="F97" s="35" t="s">
        <v>765</v>
      </c>
      <c r="G97" s="35" t="s">
        <v>986</v>
      </c>
      <c r="H97" s="42"/>
      <c r="I97" s="34"/>
      <c r="J97" s="21" t="s">
        <v>726</v>
      </c>
    </row>
    <row r="98" spans="2:10" ht="13.2" customHeight="1" x14ac:dyDescent="0.25">
      <c r="B98" s="34" t="s">
        <v>987</v>
      </c>
      <c r="C98" s="34" t="s">
        <v>1155</v>
      </c>
      <c r="D98" s="34" t="s">
        <v>1156</v>
      </c>
      <c r="E98" s="34" t="s">
        <v>1157</v>
      </c>
      <c r="F98" s="35" t="s">
        <v>988</v>
      </c>
      <c r="G98" s="35"/>
      <c r="H98" s="35"/>
      <c r="I98" s="36" t="s">
        <v>989</v>
      </c>
      <c r="J98" s="21" t="s">
        <v>1040</v>
      </c>
    </row>
    <row r="99" spans="2:10" ht="13.2" customHeight="1" x14ac:dyDescent="0.25">
      <c r="B99" s="34" t="s">
        <v>1006</v>
      </c>
      <c r="C99" s="34" t="s">
        <v>1419</v>
      </c>
      <c r="D99" s="34" t="s">
        <v>1420</v>
      </c>
      <c r="E99" s="34" t="s">
        <v>1421</v>
      </c>
      <c r="F99" s="35"/>
      <c r="G99" s="35"/>
      <c r="H99" s="42" t="s">
        <v>1007</v>
      </c>
      <c r="I99" s="34"/>
      <c r="J99" s="21" t="s">
        <v>726</v>
      </c>
    </row>
    <row r="100" spans="2:10" ht="13.2" customHeight="1" x14ac:dyDescent="0.25">
      <c r="B100" s="34" t="s">
        <v>1299</v>
      </c>
      <c r="C100" s="34" t="s">
        <v>1300</v>
      </c>
      <c r="D100" s="36" t="s">
        <v>1301</v>
      </c>
      <c r="E100" s="34" t="s">
        <v>1302</v>
      </c>
      <c r="F100" s="35" t="s">
        <v>1303</v>
      </c>
      <c r="G100" s="35"/>
      <c r="H100" s="41"/>
      <c r="J100" s="21" t="s">
        <v>1036</v>
      </c>
    </row>
    <row r="101" spans="2:10" ht="13.2" customHeight="1" x14ac:dyDescent="0.25">
      <c r="B101" s="34" t="s">
        <v>1008</v>
      </c>
      <c r="C101" s="34" t="s">
        <v>1501</v>
      </c>
      <c r="D101" s="34" t="s">
        <v>1502</v>
      </c>
      <c r="E101" s="34" t="s">
        <v>1411</v>
      </c>
      <c r="F101" s="35" t="s">
        <v>1009</v>
      </c>
      <c r="G101" s="35"/>
      <c r="H101" s="42"/>
      <c r="I101" s="34"/>
      <c r="J101" s="21" t="s">
        <v>726</v>
      </c>
    </row>
    <row r="102" spans="2:10" ht="13.2" customHeight="1" x14ac:dyDescent="0.25">
      <c r="B102" s="37" t="s">
        <v>1016</v>
      </c>
      <c r="C102" s="37" t="s">
        <v>1373</v>
      </c>
      <c r="D102" s="37" t="s">
        <v>1374</v>
      </c>
      <c r="E102" s="37" t="s">
        <v>1375</v>
      </c>
      <c r="F102" s="43" t="s">
        <v>1019</v>
      </c>
      <c r="G102" s="43"/>
      <c r="H102" s="45"/>
      <c r="I102" s="37"/>
      <c r="J102" s="21" t="s">
        <v>726</v>
      </c>
    </row>
    <row r="103" spans="2:10" ht="13.2" customHeight="1" x14ac:dyDescent="0.25">
      <c r="B103" s="34" t="s">
        <v>1018</v>
      </c>
      <c r="C103" s="34" t="s">
        <v>1164</v>
      </c>
      <c r="D103" s="34" t="s">
        <v>1165</v>
      </c>
      <c r="E103" s="34" t="s">
        <v>1166</v>
      </c>
      <c r="F103" s="35" t="s">
        <v>1017</v>
      </c>
      <c r="G103" s="35"/>
      <c r="H103" s="35"/>
      <c r="J103" s="21" t="s">
        <v>1040</v>
      </c>
    </row>
    <row r="104" spans="2:10" ht="13.2" customHeight="1" x14ac:dyDescent="0.25">
      <c r="B104" s="34" t="s">
        <v>1125</v>
      </c>
      <c r="C104" s="34" t="s">
        <v>1126</v>
      </c>
      <c r="D104" s="34" t="s">
        <v>1127</v>
      </c>
      <c r="E104" s="34" t="s">
        <v>1128</v>
      </c>
      <c r="F104" s="35" t="s">
        <v>1017</v>
      </c>
      <c r="G104" s="35" t="s">
        <v>1129</v>
      </c>
      <c r="H104" s="35"/>
      <c r="I104" s="36" t="s">
        <v>1130</v>
      </c>
      <c r="J104" s="21" t="s">
        <v>1040</v>
      </c>
    </row>
    <row r="105" spans="2:10" ht="13.2" customHeight="1" x14ac:dyDescent="0.25">
      <c r="B105" s="34" t="s">
        <v>1092</v>
      </c>
      <c r="C105" s="34" t="s">
        <v>1098</v>
      </c>
      <c r="D105" s="36" t="s">
        <v>1099</v>
      </c>
      <c r="E105" s="37" t="s">
        <v>1100</v>
      </c>
      <c r="F105" s="35" t="s">
        <v>1101</v>
      </c>
      <c r="G105" s="35" t="s">
        <v>1108</v>
      </c>
      <c r="H105" s="35"/>
      <c r="I105" s="36" t="s">
        <v>1109</v>
      </c>
      <c r="J105" s="21" t="s">
        <v>1060</v>
      </c>
    </row>
    <row r="106" spans="2:10" ht="13.2" customHeight="1" x14ac:dyDescent="0.25">
      <c r="B106" t="s">
        <v>91</v>
      </c>
      <c r="C106" t="s">
        <v>92</v>
      </c>
      <c r="D106" t="s">
        <v>93</v>
      </c>
      <c r="E106" t="s">
        <v>94</v>
      </c>
      <c r="G106" s="21"/>
      <c r="J106" s="21" t="s">
        <v>1040</v>
      </c>
    </row>
    <row r="107" spans="2:10" ht="13.2" customHeight="1" x14ac:dyDescent="0.25">
      <c r="B107" s="34" t="s">
        <v>1535</v>
      </c>
      <c r="C107" s="34" t="s">
        <v>1536</v>
      </c>
      <c r="D107" s="34" t="s">
        <v>1537</v>
      </c>
      <c r="E107" s="34" t="s">
        <v>1546</v>
      </c>
      <c r="F107" s="35"/>
      <c r="G107" s="35"/>
      <c r="H107" s="42" t="s">
        <v>1020</v>
      </c>
      <c r="I107" s="34"/>
      <c r="J107" s="21" t="s">
        <v>726</v>
      </c>
    </row>
    <row r="108" spans="2:10" ht="13.2" customHeight="1" x14ac:dyDescent="0.25">
      <c r="B108" s="34" t="s">
        <v>1021</v>
      </c>
      <c r="C108" s="34" t="s">
        <v>1412</v>
      </c>
      <c r="D108" s="34" t="s">
        <v>1413</v>
      </c>
      <c r="E108" s="34" t="s">
        <v>1418</v>
      </c>
      <c r="F108" s="35" t="s">
        <v>1022</v>
      </c>
      <c r="G108" s="35" t="s">
        <v>1023</v>
      </c>
      <c r="H108" s="42"/>
      <c r="I108" s="34"/>
      <c r="J108" s="21" t="s">
        <v>726</v>
      </c>
    </row>
  </sheetData>
  <sheetProtection selectLockedCells="1"/>
  <phoneticPr fontId="0" type="noConversion"/>
  <dataValidations count="1">
    <dataValidation type="list" allowBlank="1" showInputMessage="1" showErrorMessage="1" sqref="J8:J108">
      <formula1>"SA, NSW, QLD, NT, WA, VIC, TAS, ACT, OTHER, INTER"</formula1>
    </dataValidation>
  </dataValidations>
  <hyperlinks>
    <hyperlink ref="I78" r:id="rId1"/>
    <hyperlink ref="I52" r:id="rId2" display="mailto:tony@Intercoastexpress.com.au"/>
    <hyperlink ref="I32" r:id="rId3"/>
    <hyperlink ref="I87" r:id="rId4" tooltip="Contact Rand Transport (form in new window)" display="http://www.yellowpages.com.au/onlineSolution_emailBusiness.do?iblId=3855160&amp;iblName=Rand+Transport&amp;originatingPage=GCPPage&amp;authToken=11eec051906%7C05bcc99f174dec658ecc30d056738f54&amp;pageNumber=1&amp;st=cs&amp;z="/>
    <hyperlink ref="I66" r:id="rId5"/>
    <hyperlink ref="I74" r:id="rId6" display="mailto:mcevoytransport%40internode.on.net"/>
    <hyperlink ref="I31" r:id="rId7" display="mailto:fletchers%40fletchersfreighters.com.au"/>
    <hyperlink ref="I82" r:id="rId8" display="mailto:enquiry%40ptg.com.au"/>
    <hyperlink ref="I68" r:id="rId9" display="mailto:admin@lobethalfreightlines.com.au"/>
    <hyperlink ref="I46" r:id="rId10"/>
    <hyperlink ref="I10" r:id="rId11"/>
  </hyperlinks>
  <pageMargins left="0.7" right="0.7" top="0.75" bottom="0.75" header="0.3" footer="0.3"/>
  <pageSetup paperSize="9" orientation="portrait" r:id="rId12"/>
  <drawing r:id="rId13"/>
  <legacyDrawing r:id="rId14"/>
  <controls>
    <mc:AlternateContent xmlns:mc="http://schemas.openxmlformats.org/markup-compatibility/2006">
      <mc:Choice Requires="x14">
        <control shapeId="3073" r:id="rId15" name="cmdAddCompany">
          <controlPr defaultSize="0" autoLine="0" r:id="rId16">
            <anchor moveWithCells="1">
              <from>
                <xdr:col>0</xdr:col>
                <xdr:colOff>579120</xdr:colOff>
                <xdr:row>0</xdr:row>
                <xdr:rowOff>137160</xdr:rowOff>
              </from>
              <to>
                <xdr:col>2</xdr:col>
                <xdr:colOff>213360</xdr:colOff>
                <xdr:row>2</xdr:row>
                <xdr:rowOff>45720</xdr:rowOff>
              </to>
            </anchor>
          </controlPr>
        </control>
      </mc:Choice>
      <mc:Fallback>
        <control shapeId="3073" r:id="rId15" name="cmdAddCompany"/>
      </mc:Fallback>
    </mc:AlternateContent>
    <mc:AlternateContent xmlns:mc="http://schemas.openxmlformats.org/markup-compatibility/2006">
      <mc:Choice Requires="x14">
        <control shapeId="3074" r:id="rId17" name="cmdGoToDOrders">
          <controlPr defaultSize="0" autoLine="0" r:id="rId18">
            <anchor moveWithCells="1">
              <from>
                <xdr:col>2</xdr:col>
                <xdr:colOff>754380</xdr:colOff>
                <xdr:row>0</xdr:row>
                <xdr:rowOff>137160</xdr:rowOff>
              </from>
              <to>
                <xdr:col>3</xdr:col>
                <xdr:colOff>998220</xdr:colOff>
                <xdr:row>2</xdr:row>
                <xdr:rowOff>45720</xdr:rowOff>
              </to>
            </anchor>
          </controlPr>
        </control>
      </mc:Choice>
      <mc:Fallback>
        <control shapeId="3074" r:id="rId17" name="cmdGoToDOrders"/>
      </mc:Fallback>
    </mc:AlternateContent>
    <mc:AlternateContent xmlns:mc="http://schemas.openxmlformats.org/markup-compatibility/2006">
      <mc:Choice Requires="x14">
        <control shapeId="3076" r:id="rId19" name="cmdGoToDetails">
          <controlPr defaultSize="0" autoLine="0" r:id="rId20">
            <anchor moveWithCells="1">
              <from>
                <xdr:col>4</xdr:col>
                <xdr:colOff>274320</xdr:colOff>
                <xdr:row>0</xdr:row>
                <xdr:rowOff>137160</xdr:rowOff>
              </from>
              <to>
                <xdr:col>5</xdr:col>
                <xdr:colOff>518160</xdr:colOff>
                <xdr:row>2</xdr:row>
                <xdr:rowOff>38100</xdr:rowOff>
              </to>
            </anchor>
          </controlPr>
        </control>
      </mc:Choice>
      <mc:Fallback>
        <control shapeId="3076" r:id="rId19" name="cmdGoToDetails"/>
      </mc:Fallback>
    </mc:AlternateContent>
    <mc:AlternateContent xmlns:mc="http://schemas.openxmlformats.org/markup-compatibility/2006">
      <mc:Choice Requires="x14">
        <control shapeId="3077" r:id="rId21" name="cmdGoToData">
          <controlPr defaultSize="0" autoLine="0" r:id="rId22">
            <anchor moveWithCells="1">
              <from>
                <xdr:col>5</xdr:col>
                <xdr:colOff>1051560</xdr:colOff>
                <xdr:row>0</xdr:row>
                <xdr:rowOff>137160</xdr:rowOff>
              </from>
              <to>
                <xdr:col>7</xdr:col>
                <xdr:colOff>15240</xdr:colOff>
                <xdr:row>2</xdr:row>
                <xdr:rowOff>45720</xdr:rowOff>
              </to>
            </anchor>
          </controlPr>
        </control>
      </mc:Choice>
      <mc:Fallback>
        <control shapeId="3077" r:id="rId21" name="cmdGoToData"/>
      </mc:Fallback>
    </mc:AlternateContent>
    <mc:AlternateContent xmlns:mc="http://schemas.openxmlformats.org/markup-compatibility/2006">
      <mc:Choice Requires="x14">
        <control shapeId="3079" r:id="rId23" name="cmdImporters">
          <controlPr defaultSize="0" autoLine="0" r:id="rId24">
            <anchor moveWithCells="1">
              <from>
                <xdr:col>7</xdr:col>
                <xdr:colOff>571500</xdr:colOff>
                <xdr:row>0</xdr:row>
                <xdr:rowOff>137160</xdr:rowOff>
              </from>
              <to>
                <xdr:col>9</xdr:col>
                <xdr:colOff>289560</xdr:colOff>
                <xdr:row>2</xdr:row>
                <xdr:rowOff>45720</xdr:rowOff>
              </to>
            </anchor>
          </controlPr>
        </control>
      </mc:Choice>
      <mc:Fallback>
        <control shapeId="3079" r:id="rId23" name="cmdImporters"/>
      </mc:Fallback>
    </mc:AlternateContent>
    <mc:AlternateContent xmlns:mc="http://schemas.openxmlformats.org/markup-compatibility/2006">
      <mc:Choice Requires="x14">
        <control shapeId="3080" r:id="rId25" name="cmdExporters">
          <controlPr defaultSize="0" autoLine="0" r:id="rId26">
            <anchor moveWithCells="1">
              <from>
                <xdr:col>7</xdr:col>
                <xdr:colOff>571500</xdr:colOff>
                <xdr:row>2</xdr:row>
                <xdr:rowOff>152400</xdr:rowOff>
              </from>
              <to>
                <xdr:col>9</xdr:col>
                <xdr:colOff>289560</xdr:colOff>
                <xdr:row>4</xdr:row>
                <xdr:rowOff>60960</xdr:rowOff>
              </to>
            </anchor>
          </controlPr>
        </control>
      </mc:Choice>
      <mc:Fallback>
        <control shapeId="3080" r:id="rId25" name="cmdExporters"/>
      </mc:Fallback>
    </mc:AlternateContent>
  </controls>
  <tableParts count="1">
    <tablePart r:id="rId2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K174"/>
  <sheetViews>
    <sheetView workbookViewId="0">
      <selection activeCell="B2" sqref="B2"/>
    </sheetView>
  </sheetViews>
  <sheetFormatPr defaultRowHeight="13.2" x14ac:dyDescent="0.25"/>
  <cols>
    <col min="2" max="2" width="40.5546875" customWidth="1"/>
    <col min="3" max="3" width="54" customWidth="1"/>
    <col min="4" max="4" width="21.44140625" bestFit="1" customWidth="1"/>
    <col min="5" max="5" width="7.5546875" customWidth="1"/>
    <col min="6" max="6" width="12.88671875" style="76" customWidth="1"/>
    <col min="7" max="7" width="30.5546875" customWidth="1"/>
    <col min="8" max="8" width="20.109375" bestFit="1" customWidth="1"/>
    <col min="9" max="9" width="22.5546875" bestFit="1" customWidth="1"/>
    <col min="10" max="10" width="13.5546875" customWidth="1"/>
  </cols>
  <sheetData>
    <row r="1" spans="2:10" s="67" customFormat="1" x14ac:dyDescent="0.25">
      <c r="F1" s="74"/>
    </row>
    <row r="2" spans="2:10" s="67" customFormat="1" x14ac:dyDescent="0.25">
      <c r="F2" s="74"/>
    </row>
    <row r="3" spans="2:10" s="67" customFormat="1" x14ac:dyDescent="0.25">
      <c r="F3" s="74"/>
    </row>
    <row r="4" spans="2:10" s="68" customFormat="1" ht="13.8" thickBot="1" x14ac:dyDescent="0.3">
      <c r="F4" s="75"/>
    </row>
    <row r="5" spans="2:10" ht="13.8" thickTop="1" x14ac:dyDescent="0.25"/>
    <row r="6" spans="2:10" x14ac:dyDescent="0.25">
      <c r="B6" s="125" t="s">
        <v>1610</v>
      </c>
      <c r="C6" s="126" t="s">
        <v>1611</v>
      </c>
      <c r="D6" s="126" t="s">
        <v>1612</v>
      </c>
      <c r="E6" s="126" t="s">
        <v>1613</v>
      </c>
      <c r="F6" s="127" t="s">
        <v>1614</v>
      </c>
      <c r="G6" s="126" t="s">
        <v>1615</v>
      </c>
      <c r="H6" s="126" t="s">
        <v>1616</v>
      </c>
      <c r="I6" s="126" t="s">
        <v>1617</v>
      </c>
      <c r="J6" s="128" t="s">
        <v>1618</v>
      </c>
    </row>
    <row r="7" spans="2:10" x14ac:dyDescent="0.25">
      <c r="B7" s="130" t="s">
        <v>497</v>
      </c>
      <c r="C7" s="133" t="s">
        <v>498</v>
      </c>
      <c r="D7" s="133"/>
      <c r="E7" s="133"/>
      <c r="F7" s="133"/>
      <c r="G7" s="133"/>
      <c r="H7" s="133"/>
      <c r="I7" s="133" t="s">
        <v>499</v>
      </c>
      <c r="J7" s="141" t="s">
        <v>500</v>
      </c>
    </row>
    <row r="8" spans="2:10" x14ac:dyDescent="0.25">
      <c r="B8" s="130" t="s">
        <v>207</v>
      </c>
      <c r="C8" s="133" t="s">
        <v>208</v>
      </c>
      <c r="D8" s="133"/>
      <c r="E8" s="133"/>
      <c r="F8" s="133"/>
      <c r="G8" s="133"/>
      <c r="H8" s="133"/>
      <c r="I8" s="133" t="s">
        <v>209</v>
      </c>
      <c r="J8" s="141" t="s">
        <v>210</v>
      </c>
    </row>
    <row r="9" spans="2:10" x14ac:dyDescent="0.25">
      <c r="B9" s="130" t="s">
        <v>359</v>
      </c>
      <c r="C9" s="133" t="s">
        <v>360</v>
      </c>
      <c r="D9" s="133"/>
      <c r="E9" s="133"/>
      <c r="F9" s="133"/>
      <c r="G9" s="133"/>
      <c r="H9" s="133"/>
      <c r="I9" s="133" t="s">
        <v>1851</v>
      </c>
      <c r="J9" s="141" t="s">
        <v>1852</v>
      </c>
    </row>
    <row r="10" spans="2:10" x14ac:dyDescent="0.25">
      <c r="B10" s="108" t="s">
        <v>2326</v>
      </c>
      <c r="C10" s="109" t="s">
        <v>2327</v>
      </c>
      <c r="D10" s="110" t="s">
        <v>2328</v>
      </c>
      <c r="E10" s="109" t="s">
        <v>726</v>
      </c>
      <c r="F10" s="111">
        <v>5051</v>
      </c>
      <c r="G10" s="109" t="s">
        <v>2329</v>
      </c>
      <c r="H10" s="109" t="s">
        <v>1746</v>
      </c>
      <c r="I10" s="109" t="s">
        <v>2330</v>
      </c>
      <c r="J10" s="112"/>
    </row>
    <row r="11" spans="2:10" x14ac:dyDescent="0.25">
      <c r="B11" s="108" t="s">
        <v>1847</v>
      </c>
      <c r="C11" s="113" t="s">
        <v>1848</v>
      </c>
      <c r="D11" s="114" t="s">
        <v>1629</v>
      </c>
      <c r="E11" s="113" t="s">
        <v>726</v>
      </c>
      <c r="F11" s="115">
        <v>5095</v>
      </c>
      <c r="G11" s="113" t="s">
        <v>1849</v>
      </c>
      <c r="H11" s="113" t="s">
        <v>1850</v>
      </c>
      <c r="I11" s="113" t="s">
        <v>1851</v>
      </c>
      <c r="J11" s="116" t="s">
        <v>1852</v>
      </c>
    </row>
    <row r="12" spans="2:10" x14ac:dyDescent="0.25">
      <c r="B12" s="130" t="s">
        <v>381</v>
      </c>
      <c r="C12" s="133" t="s">
        <v>382</v>
      </c>
      <c r="D12" s="133"/>
      <c r="E12" s="133"/>
      <c r="F12" s="133"/>
      <c r="G12" s="133"/>
      <c r="H12" s="133"/>
      <c r="I12" s="133" t="s">
        <v>411</v>
      </c>
      <c r="J12" s="141" t="s">
        <v>412</v>
      </c>
    </row>
    <row r="13" spans="2:10" x14ac:dyDescent="0.25">
      <c r="B13" s="108" t="s">
        <v>1701</v>
      </c>
      <c r="C13" s="113" t="s">
        <v>1702</v>
      </c>
      <c r="D13" s="114" t="s">
        <v>1629</v>
      </c>
      <c r="E13" s="113" t="s">
        <v>726</v>
      </c>
      <c r="F13" s="115">
        <v>5095</v>
      </c>
      <c r="G13" s="113" t="s">
        <v>1703</v>
      </c>
      <c r="H13" s="113" t="s">
        <v>1704</v>
      </c>
      <c r="I13" s="113" t="s">
        <v>1705</v>
      </c>
      <c r="J13" s="116" t="s">
        <v>1706</v>
      </c>
    </row>
    <row r="14" spans="2:10" x14ac:dyDescent="0.25">
      <c r="B14" s="130" t="s">
        <v>165</v>
      </c>
      <c r="C14" s="133" t="s">
        <v>166</v>
      </c>
      <c r="D14" s="133"/>
      <c r="E14" s="133"/>
      <c r="F14" s="133"/>
      <c r="G14" s="133"/>
      <c r="H14" s="133"/>
      <c r="I14" s="133" t="s">
        <v>167</v>
      </c>
      <c r="J14" s="141" t="s">
        <v>168</v>
      </c>
    </row>
    <row r="15" spans="2:10" x14ac:dyDescent="0.25">
      <c r="B15" s="130" t="s">
        <v>165</v>
      </c>
      <c r="C15" s="133" t="s">
        <v>166</v>
      </c>
      <c r="D15" s="133"/>
      <c r="E15" s="133"/>
      <c r="F15" s="133"/>
      <c r="G15" s="133"/>
      <c r="H15" s="133"/>
      <c r="I15" s="133" t="s">
        <v>167</v>
      </c>
      <c r="J15" s="141" t="s">
        <v>168</v>
      </c>
    </row>
    <row r="16" spans="2:10" x14ac:dyDescent="0.25">
      <c r="B16" s="130" t="s">
        <v>1822</v>
      </c>
      <c r="C16" s="133" t="s">
        <v>436</v>
      </c>
      <c r="D16" s="133"/>
      <c r="E16" s="133"/>
      <c r="F16" s="133"/>
      <c r="G16" s="133"/>
      <c r="H16" s="133"/>
      <c r="I16" s="133" t="s">
        <v>437</v>
      </c>
      <c r="J16" s="141" t="s">
        <v>438</v>
      </c>
    </row>
    <row r="17" spans="2:10" x14ac:dyDescent="0.25">
      <c r="B17" s="130" t="s">
        <v>485</v>
      </c>
      <c r="C17" s="133" t="s">
        <v>486</v>
      </c>
      <c r="D17" s="133"/>
      <c r="E17" s="133"/>
      <c r="F17" s="133"/>
      <c r="G17" s="133"/>
      <c r="H17" s="133"/>
      <c r="I17" s="133" t="s">
        <v>487</v>
      </c>
      <c r="J17" s="141" t="s">
        <v>434</v>
      </c>
    </row>
    <row r="18" spans="2:10" x14ac:dyDescent="0.25">
      <c r="B18" s="108" t="s">
        <v>2220</v>
      </c>
      <c r="C18" s="109" t="s">
        <v>2221</v>
      </c>
      <c r="D18" s="110" t="s">
        <v>2222</v>
      </c>
      <c r="E18" s="109" t="s">
        <v>726</v>
      </c>
      <c r="F18" s="111">
        <v>5139</v>
      </c>
      <c r="G18" s="109" t="s">
        <v>2223</v>
      </c>
      <c r="H18" s="109" t="s">
        <v>2224</v>
      </c>
      <c r="I18" s="109" t="s">
        <v>2225</v>
      </c>
      <c r="J18" s="112"/>
    </row>
    <row r="19" spans="2:10" x14ac:dyDescent="0.25">
      <c r="B19" s="108" t="s">
        <v>2139</v>
      </c>
      <c r="C19" s="109" t="s">
        <v>2140</v>
      </c>
      <c r="D19" s="110" t="s">
        <v>2081</v>
      </c>
      <c r="E19" s="109" t="s">
        <v>726</v>
      </c>
      <c r="F19" s="111">
        <v>5120</v>
      </c>
      <c r="G19" s="109" t="s">
        <v>2141</v>
      </c>
      <c r="H19" s="109" t="s">
        <v>1986</v>
      </c>
      <c r="I19" s="109"/>
      <c r="J19" s="112" t="s">
        <v>2142</v>
      </c>
    </row>
    <row r="20" spans="2:10" x14ac:dyDescent="0.25">
      <c r="B20" s="130" t="s">
        <v>289</v>
      </c>
      <c r="C20" s="133" t="s">
        <v>290</v>
      </c>
      <c r="D20" s="133"/>
      <c r="E20" s="133"/>
      <c r="F20" s="133"/>
      <c r="G20" s="133"/>
      <c r="H20" s="133"/>
      <c r="I20" s="133" t="s">
        <v>291</v>
      </c>
      <c r="J20" s="141" t="s">
        <v>292</v>
      </c>
    </row>
    <row r="21" spans="2:10" x14ac:dyDescent="0.25">
      <c r="B21" s="108" t="s">
        <v>2143</v>
      </c>
      <c r="C21" s="109" t="s">
        <v>2144</v>
      </c>
      <c r="D21" s="110" t="s">
        <v>2075</v>
      </c>
      <c r="E21" s="109" t="s">
        <v>726</v>
      </c>
      <c r="F21" s="111">
        <v>5110</v>
      </c>
      <c r="G21" s="109" t="s">
        <v>2145</v>
      </c>
      <c r="H21" s="109"/>
      <c r="I21" s="109"/>
      <c r="J21" s="112"/>
    </row>
    <row r="22" spans="2:10" x14ac:dyDescent="0.25">
      <c r="B22" s="108" t="s">
        <v>2129</v>
      </c>
      <c r="C22" s="109" t="s">
        <v>2130</v>
      </c>
      <c r="D22" s="110" t="s">
        <v>2131</v>
      </c>
      <c r="E22" s="109" t="s">
        <v>726</v>
      </c>
      <c r="F22" s="111">
        <v>5232</v>
      </c>
      <c r="G22" s="109" t="s">
        <v>2132</v>
      </c>
      <c r="H22" s="109" t="s">
        <v>2132</v>
      </c>
      <c r="I22" s="109" t="s">
        <v>2133</v>
      </c>
      <c r="J22" s="112" t="s">
        <v>2134</v>
      </c>
    </row>
    <row r="23" spans="2:10" x14ac:dyDescent="0.25">
      <c r="B23" s="108" t="s">
        <v>1672</v>
      </c>
      <c r="C23" s="113" t="s">
        <v>1673</v>
      </c>
      <c r="D23" s="114" t="s">
        <v>1629</v>
      </c>
      <c r="E23" s="113" t="s">
        <v>726</v>
      </c>
      <c r="F23" s="115">
        <v>5095</v>
      </c>
      <c r="G23" s="113" t="s">
        <v>1674</v>
      </c>
      <c r="H23" s="113" t="s">
        <v>1675</v>
      </c>
      <c r="I23" s="113" t="s">
        <v>1676</v>
      </c>
      <c r="J23" s="116" t="s">
        <v>1677</v>
      </c>
    </row>
    <row r="24" spans="2:10" x14ac:dyDescent="0.25">
      <c r="B24" s="117" t="s">
        <v>1964</v>
      </c>
      <c r="C24" s="118" t="s">
        <v>1965</v>
      </c>
      <c r="D24" s="114" t="s">
        <v>1966</v>
      </c>
      <c r="E24" s="118" t="s">
        <v>726</v>
      </c>
      <c r="F24" s="119">
        <v>5049</v>
      </c>
      <c r="G24" s="113" t="s">
        <v>1967</v>
      </c>
      <c r="H24" s="113" t="s">
        <v>1693</v>
      </c>
      <c r="I24" s="113"/>
      <c r="J24" s="116"/>
    </row>
    <row r="25" spans="2:10" x14ac:dyDescent="0.25">
      <c r="B25" s="130" t="s">
        <v>329</v>
      </c>
      <c r="C25" s="133" t="s">
        <v>330</v>
      </c>
      <c r="D25" s="133"/>
      <c r="E25" s="133"/>
      <c r="F25" s="133"/>
      <c r="G25" s="133"/>
      <c r="H25" s="133"/>
      <c r="I25" s="133" t="s">
        <v>331</v>
      </c>
      <c r="J25" s="141" t="s">
        <v>332</v>
      </c>
    </row>
    <row r="26" spans="2:10" x14ac:dyDescent="0.25">
      <c r="B26" s="108" t="s">
        <v>1814</v>
      </c>
      <c r="C26" s="113" t="s">
        <v>1815</v>
      </c>
      <c r="D26" s="114" t="s">
        <v>1629</v>
      </c>
      <c r="E26" s="113" t="s">
        <v>726</v>
      </c>
      <c r="F26" s="115">
        <v>5095</v>
      </c>
      <c r="G26" s="113" t="s">
        <v>1816</v>
      </c>
      <c r="H26" s="113" t="s">
        <v>1817</v>
      </c>
      <c r="I26" s="113" t="s">
        <v>1818</v>
      </c>
      <c r="J26" s="116" t="s">
        <v>1819</v>
      </c>
    </row>
    <row r="27" spans="2:10" x14ac:dyDescent="0.25">
      <c r="B27" s="108" t="s">
        <v>1842</v>
      </c>
      <c r="C27" s="113" t="s">
        <v>1843</v>
      </c>
      <c r="D27" s="114" t="s">
        <v>1629</v>
      </c>
      <c r="E27" s="113" t="s">
        <v>726</v>
      </c>
      <c r="F27" s="115">
        <v>5095</v>
      </c>
      <c r="G27" s="113" t="s">
        <v>1844</v>
      </c>
      <c r="H27" s="113" t="s">
        <v>1675</v>
      </c>
      <c r="I27" s="113" t="s">
        <v>1845</v>
      </c>
      <c r="J27" s="116" t="s">
        <v>1846</v>
      </c>
    </row>
    <row r="28" spans="2:10" x14ac:dyDescent="0.25">
      <c r="B28" s="130" t="s">
        <v>237</v>
      </c>
      <c r="C28" s="133" t="s">
        <v>238</v>
      </c>
      <c r="D28" s="133"/>
      <c r="E28" s="133"/>
      <c r="F28" s="133"/>
      <c r="G28" s="133"/>
      <c r="H28" s="133"/>
      <c r="I28" s="133" t="s">
        <v>239</v>
      </c>
      <c r="J28" s="141" t="s">
        <v>240</v>
      </c>
    </row>
    <row r="29" spans="2:10" x14ac:dyDescent="0.25">
      <c r="B29" s="108" t="s">
        <v>2155</v>
      </c>
      <c r="C29" s="109" t="s">
        <v>2156</v>
      </c>
      <c r="D29" s="110" t="s">
        <v>2081</v>
      </c>
      <c r="E29" s="109" t="s">
        <v>726</v>
      </c>
      <c r="F29" s="111">
        <v>5120</v>
      </c>
      <c r="G29" s="109" t="s">
        <v>2157</v>
      </c>
      <c r="H29" s="109" t="s">
        <v>2158</v>
      </c>
      <c r="I29" s="109" t="s">
        <v>2172</v>
      </c>
      <c r="J29" s="112" t="s">
        <v>2172</v>
      </c>
    </row>
    <row r="30" spans="2:10" x14ac:dyDescent="0.25">
      <c r="B30" s="108" t="s">
        <v>2118</v>
      </c>
      <c r="C30" s="109" t="s">
        <v>2119</v>
      </c>
      <c r="D30" s="110" t="s">
        <v>2081</v>
      </c>
      <c r="E30" s="109" t="s">
        <v>726</v>
      </c>
      <c r="F30" s="111">
        <v>5120</v>
      </c>
      <c r="G30" s="109" t="s">
        <v>2120</v>
      </c>
      <c r="H30" s="109" t="s">
        <v>1917</v>
      </c>
      <c r="I30" s="109" t="s">
        <v>2121</v>
      </c>
      <c r="J30" s="112" t="s">
        <v>2122</v>
      </c>
    </row>
    <row r="31" spans="2:10" x14ac:dyDescent="0.25">
      <c r="B31" s="108" t="s">
        <v>1988</v>
      </c>
      <c r="C31" s="118" t="s">
        <v>1989</v>
      </c>
      <c r="D31" s="114" t="s">
        <v>1983</v>
      </c>
      <c r="E31" s="118" t="s">
        <v>1984</v>
      </c>
      <c r="F31" s="119">
        <v>3501</v>
      </c>
      <c r="G31" s="113" t="s">
        <v>1990</v>
      </c>
      <c r="H31" s="113" t="s">
        <v>1991</v>
      </c>
      <c r="I31" s="113" t="s">
        <v>1992</v>
      </c>
      <c r="J31" s="116" t="s">
        <v>1993</v>
      </c>
    </row>
    <row r="32" spans="2:10" x14ac:dyDescent="0.25">
      <c r="B32" s="108" t="s">
        <v>1788</v>
      </c>
      <c r="C32" s="113" t="s">
        <v>1789</v>
      </c>
      <c r="D32" s="114" t="s">
        <v>1629</v>
      </c>
      <c r="E32" s="113" t="s">
        <v>726</v>
      </c>
      <c r="F32" s="115">
        <v>5095</v>
      </c>
      <c r="G32" s="113" t="s">
        <v>1790</v>
      </c>
      <c r="H32" s="113" t="s">
        <v>1644</v>
      </c>
      <c r="I32" s="113" t="s">
        <v>1791</v>
      </c>
      <c r="J32" s="116" t="s">
        <v>1792</v>
      </c>
    </row>
    <row r="33" spans="2:10" x14ac:dyDescent="0.25">
      <c r="B33" s="108" t="s">
        <v>1877</v>
      </c>
      <c r="C33" s="113" t="s">
        <v>1878</v>
      </c>
      <c r="D33" s="114" t="s">
        <v>1629</v>
      </c>
      <c r="E33" s="113" t="s">
        <v>726</v>
      </c>
      <c r="F33" s="115">
        <v>5095</v>
      </c>
      <c r="G33" s="113" t="s">
        <v>1873</v>
      </c>
      <c r="H33" s="113" t="s">
        <v>1874</v>
      </c>
      <c r="I33" s="113" t="s">
        <v>1875</v>
      </c>
      <c r="J33" s="116" t="s">
        <v>1876</v>
      </c>
    </row>
    <row r="34" spans="2:10" x14ac:dyDescent="0.25">
      <c r="B34" s="130" t="s">
        <v>468</v>
      </c>
      <c r="C34" s="133" t="s">
        <v>469</v>
      </c>
      <c r="D34" s="133"/>
      <c r="E34" s="133"/>
      <c r="F34" s="133"/>
      <c r="G34" s="133"/>
      <c r="H34" s="133"/>
      <c r="I34" s="133" t="s">
        <v>470</v>
      </c>
      <c r="J34" s="141" t="s">
        <v>471</v>
      </c>
    </row>
    <row r="35" spans="2:10" x14ac:dyDescent="0.25">
      <c r="B35" s="108" t="s">
        <v>1897</v>
      </c>
      <c r="C35" s="113" t="s">
        <v>1898</v>
      </c>
      <c r="D35" s="114" t="s">
        <v>1629</v>
      </c>
      <c r="E35" s="113" t="s">
        <v>726</v>
      </c>
      <c r="F35" s="115">
        <v>5095</v>
      </c>
      <c r="G35" s="113" t="s">
        <v>1899</v>
      </c>
      <c r="H35" s="113" t="s">
        <v>1900</v>
      </c>
      <c r="I35" s="113" t="s">
        <v>1901</v>
      </c>
      <c r="J35" s="116" t="s">
        <v>1902</v>
      </c>
    </row>
    <row r="36" spans="2:10" x14ac:dyDescent="0.25">
      <c r="B36" s="108" t="s">
        <v>1880</v>
      </c>
      <c r="C36" s="113" t="s">
        <v>1881</v>
      </c>
      <c r="D36" s="114" t="s">
        <v>1629</v>
      </c>
      <c r="E36" s="113" t="s">
        <v>726</v>
      </c>
      <c r="F36" s="115">
        <v>5095</v>
      </c>
      <c r="G36" s="113" t="s">
        <v>1882</v>
      </c>
      <c r="H36" s="113" t="s">
        <v>1883</v>
      </c>
      <c r="I36" s="113" t="s">
        <v>1884</v>
      </c>
      <c r="J36" s="116" t="s">
        <v>1885</v>
      </c>
    </row>
    <row r="37" spans="2:10" x14ac:dyDescent="0.25">
      <c r="B37" s="130" t="s">
        <v>365</v>
      </c>
      <c r="C37" s="133" t="s">
        <v>366</v>
      </c>
      <c r="D37" s="133"/>
      <c r="E37" s="133"/>
      <c r="F37" s="133"/>
      <c r="G37" s="133"/>
      <c r="H37" s="133"/>
      <c r="I37" s="133" t="s">
        <v>1884</v>
      </c>
      <c r="J37" s="141" t="s">
        <v>1885</v>
      </c>
    </row>
    <row r="38" spans="2:10" x14ac:dyDescent="0.25">
      <c r="B38" s="108" t="s">
        <v>2135</v>
      </c>
      <c r="C38" s="109" t="s">
        <v>2136</v>
      </c>
      <c r="D38" s="110" t="s">
        <v>2081</v>
      </c>
      <c r="E38" s="109" t="s">
        <v>726</v>
      </c>
      <c r="F38" s="111">
        <v>5120</v>
      </c>
      <c r="G38" s="109" t="s">
        <v>2137</v>
      </c>
      <c r="H38" s="109" t="s">
        <v>2138</v>
      </c>
      <c r="I38" s="109" t="s">
        <v>2386</v>
      </c>
      <c r="J38" s="112"/>
    </row>
    <row r="39" spans="2:10" x14ac:dyDescent="0.25">
      <c r="B39" s="130" t="s">
        <v>113</v>
      </c>
      <c r="C39" s="133" t="s">
        <v>114</v>
      </c>
      <c r="D39" s="133"/>
      <c r="E39" s="133"/>
      <c r="F39" s="133"/>
      <c r="G39" s="133"/>
      <c r="H39" s="133"/>
      <c r="I39" s="133" t="s">
        <v>115</v>
      </c>
      <c r="J39" s="141" t="s">
        <v>116</v>
      </c>
    </row>
    <row r="40" spans="2:10" x14ac:dyDescent="0.25">
      <c r="B40" s="130" t="s">
        <v>421</v>
      </c>
      <c r="C40" s="133" t="s">
        <v>422</v>
      </c>
      <c r="D40" s="133"/>
      <c r="E40" s="133"/>
      <c r="F40" s="133"/>
      <c r="G40" s="133"/>
      <c r="H40" s="133"/>
      <c r="I40" s="133" t="s">
        <v>423</v>
      </c>
      <c r="J40" s="141"/>
    </row>
    <row r="41" spans="2:10" x14ac:dyDescent="0.25">
      <c r="B41" s="108" t="s">
        <v>1836</v>
      </c>
      <c r="C41" s="113" t="s">
        <v>1837</v>
      </c>
      <c r="D41" s="114" t="s">
        <v>1629</v>
      </c>
      <c r="E41" s="113" t="s">
        <v>726</v>
      </c>
      <c r="F41" s="115">
        <v>5095</v>
      </c>
      <c r="G41" s="113" t="s">
        <v>1838</v>
      </c>
      <c r="H41" s="113" t="s">
        <v>1839</v>
      </c>
      <c r="I41" s="113" t="s">
        <v>1840</v>
      </c>
      <c r="J41" s="116" t="s">
        <v>1841</v>
      </c>
    </row>
    <row r="42" spans="2:10" x14ac:dyDescent="0.25">
      <c r="B42" s="130" t="s">
        <v>375</v>
      </c>
      <c r="C42" s="133" t="s">
        <v>376</v>
      </c>
      <c r="D42" s="133"/>
      <c r="E42" s="133"/>
      <c r="F42" s="133"/>
      <c r="G42" s="133"/>
      <c r="H42" s="133"/>
      <c r="I42" s="133" t="s">
        <v>377</v>
      </c>
      <c r="J42" s="141" t="s">
        <v>378</v>
      </c>
    </row>
    <row r="43" spans="2:10" x14ac:dyDescent="0.25">
      <c r="B43" s="108" t="s">
        <v>2150</v>
      </c>
      <c r="C43" s="109" t="s">
        <v>2151</v>
      </c>
      <c r="D43" s="110" t="s">
        <v>2075</v>
      </c>
      <c r="E43" s="109" t="s">
        <v>726</v>
      </c>
      <c r="F43" s="111">
        <v>5110</v>
      </c>
      <c r="G43" s="109" t="s">
        <v>2152</v>
      </c>
      <c r="H43" s="109" t="s">
        <v>2153</v>
      </c>
      <c r="I43" s="109" t="s">
        <v>2154</v>
      </c>
      <c r="J43" s="112"/>
    </row>
    <row r="44" spans="2:10" x14ac:dyDescent="0.25">
      <c r="B44" s="108" t="s">
        <v>1724</v>
      </c>
      <c r="C44" s="113" t="s">
        <v>1725</v>
      </c>
      <c r="D44" s="114" t="s">
        <v>1629</v>
      </c>
      <c r="E44" s="113" t="s">
        <v>726</v>
      </c>
      <c r="F44" s="115">
        <v>5095</v>
      </c>
      <c r="G44" s="113" t="s">
        <v>1726</v>
      </c>
      <c r="H44" s="113" t="s">
        <v>1675</v>
      </c>
      <c r="I44" s="113" t="s">
        <v>1727</v>
      </c>
      <c r="J44" s="116" t="s">
        <v>1728</v>
      </c>
    </row>
    <row r="45" spans="2:10" x14ac:dyDescent="0.25">
      <c r="B45" s="130" t="s">
        <v>1724</v>
      </c>
      <c r="C45" s="133" t="s">
        <v>342</v>
      </c>
      <c r="D45" s="133"/>
      <c r="E45" s="133"/>
      <c r="F45" s="133"/>
      <c r="G45" s="133"/>
      <c r="H45" s="133"/>
      <c r="I45" s="133" t="s">
        <v>343</v>
      </c>
      <c r="J45" s="141" t="s">
        <v>344</v>
      </c>
    </row>
    <row r="46" spans="2:10" x14ac:dyDescent="0.25">
      <c r="B46" s="117" t="s">
        <v>1975</v>
      </c>
      <c r="C46" s="118" t="s">
        <v>1976</v>
      </c>
      <c r="D46" s="114" t="s">
        <v>1977</v>
      </c>
      <c r="E46" s="118" t="s">
        <v>726</v>
      </c>
      <c r="F46" s="119">
        <v>5090</v>
      </c>
      <c r="G46" s="113" t="s">
        <v>1978</v>
      </c>
      <c r="H46" s="113" t="s">
        <v>1979</v>
      </c>
      <c r="I46" s="113" t="s">
        <v>1980</v>
      </c>
      <c r="J46" s="116" t="s">
        <v>1981</v>
      </c>
    </row>
    <row r="47" spans="2:10" x14ac:dyDescent="0.25">
      <c r="B47" s="108" t="s">
        <v>2091</v>
      </c>
      <c r="C47" s="109" t="s">
        <v>2092</v>
      </c>
      <c r="D47" s="110" t="s">
        <v>2075</v>
      </c>
      <c r="E47" s="109" t="s">
        <v>726</v>
      </c>
      <c r="F47" s="111">
        <v>5110</v>
      </c>
      <c r="G47" s="109" t="s">
        <v>2093</v>
      </c>
      <c r="H47" s="109" t="s">
        <v>2094</v>
      </c>
      <c r="I47" s="109" t="s">
        <v>2095</v>
      </c>
      <c r="J47" s="112" t="s">
        <v>2096</v>
      </c>
    </row>
    <row r="48" spans="2:10" x14ac:dyDescent="0.25">
      <c r="B48" s="130" t="s">
        <v>333</v>
      </c>
      <c r="C48" s="133" t="s">
        <v>334</v>
      </c>
      <c r="D48" s="133"/>
      <c r="E48" s="133"/>
      <c r="F48" s="133"/>
      <c r="G48" s="133"/>
      <c r="H48" s="133"/>
      <c r="I48" s="133" t="s">
        <v>335</v>
      </c>
      <c r="J48" s="141" t="s">
        <v>336</v>
      </c>
    </row>
    <row r="49" spans="2:10" x14ac:dyDescent="0.25">
      <c r="B49" s="108" t="s">
        <v>2053</v>
      </c>
      <c r="C49" s="113" t="s">
        <v>2054</v>
      </c>
      <c r="D49" s="114" t="s">
        <v>2055</v>
      </c>
      <c r="E49" s="118" t="s">
        <v>726</v>
      </c>
      <c r="F49" s="119">
        <v>5087</v>
      </c>
      <c r="G49" s="113" t="s">
        <v>2053</v>
      </c>
      <c r="H49" s="113" t="s">
        <v>2056</v>
      </c>
      <c r="I49" s="113" t="s">
        <v>2057</v>
      </c>
      <c r="J49" s="116" t="s">
        <v>2058</v>
      </c>
    </row>
    <row r="50" spans="2:10" x14ac:dyDescent="0.25">
      <c r="B50" s="108" t="s">
        <v>1760</v>
      </c>
      <c r="C50" s="113" t="s">
        <v>1761</v>
      </c>
      <c r="D50" s="114" t="s">
        <v>1629</v>
      </c>
      <c r="E50" s="113" t="s">
        <v>726</v>
      </c>
      <c r="F50" s="115">
        <v>5095</v>
      </c>
      <c r="G50" s="113" t="s">
        <v>1762</v>
      </c>
      <c r="H50" s="113" t="s">
        <v>1763</v>
      </c>
      <c r="I50" s="113" t="s">
        <v>1764</v>
      </c>
      <c r="J50" s="116" t="s">
        <v>1765</v>
      </c>
    </row>
    <row r="51" spans="2:10" x14ac:dyDescent="0.25">
      <c r="B51" s="130" t="s">
        <v>455</v>
      </c>
      <c r="C51" s="133" t="s">
        <v>456</v>
      </c>
      <c r="D51" s="133"/>
      <c r="E51" s="133"/>
      <c r="F51" s="133"/>
      <c r="G51" s="133"/>
      <c r="H51" s="133"/>
      <c r="I51" s="133" t="s">
        <v>457</v>
      </c>
      <c r="J51" s="141" t="s">
        <v>458</v>
      </c>
    </row>
    <row r="52" spans="2:10" x14ac:dyDescent="0.25">
      <c r="B52" s="130" t="s">
        <v>186</v>
      </c>
      <c r="C52" s="133" t="s">
        <v>187</v>
      </c>
      <c r="D52" s="133"/>
      <c r="E52" s="133"/>
      <c r="F52" s="133"/>
      <c r="G52" s="133"/>
      <c r="H52" s="133"/>
      <c r="I52" s="133" t="s">
        <v>188</v>
      </c>
      <c r="J52" s="141" t="s">
        <v>189</v>
      </c>
    </row>
    <row r="53" spans="2:10" x14ac:dyDescent="0.25">
      <c r="B53" s="108" t="s">
        <v>2287</v>
      </c>
      <c r="C53" s="109" t="s">
        <v>2288</v>
      </c>
      <c r="D53" s="110" t="s">
        <v>2289</v>
      </c>
      <c r="E53" s="109" t="s">
        <v>726</v>
      </c>
      <c r="F53" s="111">
        <v>5096</v>
      </c>
      <c r="G53" s="109" t="s">
        <v>2290</v>
      </c>
      <c r="H53" s="109" t="s">
        <v>2291</v>
      </c>
      <c r="I53" s="109" t="s">
        <v>2292</v>
      </c>
      <c r="J53" s="112"/>
    </row>
    <row r="54" spans="2:10" x14ac:dyDescent="0.25">
      <c r="B54" s="108" t="s">
        <v>2256</v>
      </c>
      <c r="C54" s="109" t="s">
        <v>2257</v>
      </c>
      <c r="D54" s="110" t="s">
        <v>2258</v>
      </c>
      <c r="E54" s="109" t="s">
        <v>726</v>
      </c>
      <c r="F54" s="111">
        <v>5076</v>
      </c>
      <c r="G54" s="109" t="s">
        <v>2259</v>
      </c>
      <c r="H54" s="109" t="s">
        <v>2260</v>
      </c>
      <c r="I54" s="109" t="s">
        <v>2261</v>
      </c>
      <c r="J54" s="112"/>
    </row>
    <row r="55" spans="2:10" x14ac:dyDescent="0.25">
      <c r="B55" s="117" t="s">
        <v>2041</v>
      </c>
      <c r="C55" s="118" t="s">
        <v>2042</v>
      </c>
      <c r="D55" s="114" t="s">
        <v>1629</v>
      </c>
      <c r="E55" s="118" t="s">
        <v>726</v>
      </c>
      <c r="F55" s="119">
        <v>5095</v>
      </c>
      <c r="G55" s="113" t="s">
        <v>2043</v>
      </c>
      <c r="H55" s="113" t="s">
        <v>2044</v>
      </c>
      <c r="I55" s="113" t="s">
        <v>2045</v>
      </c>
      <c r="J55" s="116" t="s">
        <v>2046</v>
      </c>
    </row>
    <row r="56" spans="2:10" x14ac:dyDescent="0.25">
      <c r="B56" s="108" t="s">
        <v>2079</v>
      </c>
      <c r="C56" s="109" t="s">
        <v>2080</v>
      </c>
      <c r="D56" s="110" t="s">
        <v>2081</v>
      </c>
      <c r="E56" s="109" t="s">
        <v>726</v>
      </c>
      <c r="F56" s="111">
        <v>5120</v>
      </c>
      <c r="G56" s="109" t="s">
        <v>2082</v>
      </c>
      <c r="H56" s="109" t="s">
        <v>2083</v>
      </c>
      <c r="I56" s="109" t="s">
        <v>2084</v>
      </c>
      <c r="J56" s="112" t="s">
        <v>2084</v>
      </c>
    </row>
    <row r="57" spans="2:10" x14ac:dyDescent="0.25">
      <c r="B57" s="130" t="s">
        <v>373</v>
      </c>
      <c r="C57" s="133" t="s">
        <v>374</v>
      </c>
      <c r="D57" s="133"/>
      <c r="E57" s="133"/>
      <c r="F57" s="133"/>
      <c r="G57" s="133"/>
      <c r="H57" s="133"/>
      <c r="I57" s="133" t="s">
        <v>1741</v>
      </c>
      <c r="J57" s="141" t="s">
        <v>1742</v>
      </c>
    </row>
    <row r="58" spans="2:10" x14ac:dyDescent="0.25">
      <c r="B58" s="108" t="s">
        <v>2281</v>
      </c>
      <c r="C58" s="109" t="s">
        <v>2282</v>
      </c>
      <c r="D58" s="110" t="s">
        <v>2283</v>
      </c>
      <c r="E58" s="109" t="s">
        <v>726</v>
      </c>
      <c r="F58" s="111">
        <v>5073</v>
      </c>
      <c r="G58" s="109" t="s">
        <v>2284</v>
      </c>
      <c r="H58" s="109" t="s">
        <v>2285</v>
      </c>
      <c r="I58" s="109" t="s">
        <v>2286</v>
      </c>
      <c r="J58" s="112"/>
    </row>
    <row r="59" spans="2:10" x14ac:dyDescent="0.25">
      <c r="B59" s="117" t="s">
        <v>1959</v>
      </c>
      <c r="C59" s="118" t="s">
        <v>1960</v>
      </c>
      <c r="D59" s="114" t="s">
        <v>1961</v>
      </c>
      <c r="E59" s="118" t="s">
        <v>726</v>
      </c>
      <c r="F59" s="119">
        <v>5139</v>
      </c>
      <c r="G59" s="113" t="s">
        <v>1962</v>
      </c>
      <c r="H59" s="113" t="s">
        <v>1963</v>
      </c>
      <c r="I59" s="113" t="s">
        <v>1864</v>
      </c>
      <c r="J59" s="116" t="s">
        <v>1864</v>
      </c>
    </row>
    <row r="60" spans="2:10" x14ac:dyDescent="0.25">
      <c r="B60" s="108" t="s">
        <v>1859</v>
      </c>
      <c r="C60" s="113" t="s">
        <v>1860</v>
      </c>
      <c r="D60" s="114" t="s">
        <v>1629</v>
      </c>
      <c r="E60" s="113" t="s">
        <v>726</v>
      </c>
      <c r="F60" s="115">
        <v>5095</v>
      </c>
      <c r="G60" s="113" t="s">
        <v>1861</v>
      </c>
      <c r="H60" s="113" t="s">
        <v>1862</v>
      </c>
      <c r="I60" s="113" t="s">
        <v>1863</v>
      </c>
      <c r="J60" s="116" t="s">
        <v>1864</v>
      </c>
    </row>
    <row r="61" spans="2:10" x14ac:dyDescent="0.25">
      <c r="B61" s="108" t="s">
        <v>2265</v>
      </c>
      <c r="C61" s="109" t="s">
        <v>2266</v>
      </c>
      <c r="D61" s="110" t="s">
        <v>2081</v>
      </c>
      <c r="E61" s="109" t="s">
        <v>726</v>
      </c>
      <c r="F61" s="111">
        <v>5120</v>
      </c>
      <c r="G61" s="109" t="s">
        <v>2267</v>
      </c>
      <c r="H61" s="109" t="s">
        <v>2268</v>
      </c>
      <c r="I61" s="109" t="s">
        <v>2269</v>
      </c>
      <c r="J61" s="112"/>
    </row>
    <row r="62" spans="2:10" x14ac:dyDescent="0.25">
      <c r="B62" s="108" t="s">
        <v>2007</v>
      </c>
      <c r="C62" s="118" t="s">
        <v>2016</v>
      </c>
      <c r="D62" s="114" t="s">
        <v>1629</v>
      </c>
      <c r="E62" s="118" t="s">
        <v>726</v>
      </c>
      <c r="F62" s="119">
        <v>5095</v>
      </c>
      <c r="G62" s="113" t="s">
        <v>2017</v>
      </c>
      <c r="H62" s="113" t="s">
        <v>2018</v>
      </c>
      <c r="I62" s="113" t="s">
        <v>2019</v>
      </c>
      <c r="J62" s="116" t="s">
        <v>2020</v>
      </c>
    </row>
    <row r="63" spans="2:10" x14ac:dyDescent="0.25">
      <c r="B63" s="108" t="s">
        <v>1766</v>
      </c>
      <c r="C63" s="113" t="s">
        <v>1767</v>
      </c>
      <c r="D63" s="114" t="s">
        <v>1629</v>
      </c>
      <c r="E63" s="113" t="s">
        <v>726</v>
      </c>
      <c r="F63" s="115">
        <v>5095</v>
      </c>
      <c r="G63" s="113" t="s">
        <v>1768</v>
      </c>
      <c r="H63" s="113" t="s">
        <v>1769</v>
      </c>
      <c r="I63" s="113" t="s">
        <v>1770</v>
      </c>
      <c r="J63" s="116" t="s">
        <v>1771</v>
      </c>
    </row>
    <row r="64" spans="2:10" x14ac:dyDescent="0.25">
      <c r="B64" s="108" t="s">
        <v>1743</v>
      </c>
      <c r="C64" s="113" t="s">
        <v>1744</v>
      </c>
      <c r="D64" s="114" t="s">
        <v>1629</v>
      </c>
      <c r="E64" s="113" t="s">
        <v>726</v>
      </c>
      <c r="F64" s="115">
        <v>5095</v>
      </c>
      <c r="G64" s="113" t="s">
        <v>1745</v>
      </c>
      <c r="H64" s="113" t="s">
        <v>1746</v>
      </c>
      <c r="I64" s="113" t="s">
        <v>1747</v>
      </c>
      <c r="J64" s="116" t="s">
        <v>1748</v>
      </c>
    </row>
    <row r="65" spans="2:10" x14ac:dyDescent="0.25">
      <c r="B65" s="130" t="s">
        <v>247</v>
      </c>
      <c r="C65" s="133" t="s">
        <v>248</v>
      </c>
      <c r="D65" s="133"/>
      <c r="E65" s="133"/>
      <c r="F65" s="133"/>
      <c r="G65" s="133"/>
      <c r="H65" s="133"/>
      <c r="I65" s="133" t="s">
        <v>249</v>
      </c>
      <c r="J65" s="141" t="s">
        <v>250</v>
      </c>
    </row>
    <row r="66" spans="2:10" x14ac:dyDescent="0.25">
      <c r="B66" s="108" t="s">
        <v>1793</v>
      </c>
      <c r="C66" s="113" t="s">
        <v>1794</v>
      </c>
      <c r="D66" s="114" t="s">
        <v>1629</v>
      </c>
      <c r="E66" s="113" t="s">
        <v>726</v>
      </c>
      <c r="F66" s="115">
        <v>5095</v>
      </c>
      <c r="G66" s="113" t="s">
        <v>1795</v>
      </c>
      <c r="H66" s="113" t="s">
        <v>1796</v>
      </c>
      <c r="I66" s="113" t="s">
        <v>1797</v>
      </c>
      <c r="J66" s="116" t="s">
        <v>1797</v>
      </c>
    </row>
    <row r="67" spans="2:10" x14ac:dyDescent="0.25">
      <c r="B67" s="108" t="s">
        <v>2262</v>
      </c>
      <c r="C67" s="109" t="s">
        <v>1405</v>
      </c>
      <c r="D67" s="110" t="s">
        <v>2081</v>
      </c>
      <c r="E67" s="109" t="s">
        <v>726</v>
      </c>
      <c r="F67" s="111">
        <v>5120</v>
      </c>
      <c r="G67" s="109" t="s">
        <v>2263</v>
      </c>
      <c r="H67" s="109" t="s">
        <v>2264</v>
      </c>
      <c r="I67" s="109" t="s">
        <v>2387</v>
      </c>
      <c r="J67" s="112"/>
    </row>
    <row r="68" spans="2:10" x14ac:dyDescent="0.25">
      <c r="B68" s="130" t="s">
        <v>523</v>
      </c>
      <c r="C68" s="133" t="s">
        <v>524</v>
      </c>
      <c r="D68" s="133"/>
      <c r="E68" s="133"/>
      <c r="F68" s="133"/>
      <c r="G68" s="133"/>
      <c r="H68" s="133"/>
      <c r="I68" s="133" t="s">
        <v>525</v>
      </c>
      <c r="J68" s="141" t="s">
        <v>526</v>
      </c>
    </row>
    <row r="69" spans="2:10" x14ac:dyDescent="0.25">
      <c r="B69" s="108" t="s">
        <v>1832</v>
      </c>
      <c r="C69" s="113" t="s">
        <v>1833</v>
      </c>
      <c r="D69" s="114" t="s">
        <v>1629</v>
      </c>
      <c r="E69" s="113" t="s">
        <v>726</v>
      </c>
      <c r="F69" s="115">
        <v>5095</v>
      </c>
      <c r="G69" s="113" t="s">
        <v>1822</v>
      </c>
      <c r="H69" s="113" t="s">
        <v>1823</v>
      </c>
      <c r="I69" s="113" t="s">
        <v>1834</v>
      </c>
      <c r="J69" s="116" t="s">
        <v>1835</v>
      </c>
    </row>
    <row r="70" spans="2:10" x14ac:dyDescent="0.25">
      <c r="B70" s="108" t="s">
        <v>1871</v>
      </c>
      <c r="C70" s="113" t="s">
        <v>1872</v>
      </c>
      <c r="D70" s="114" t="s">
        <v>1629</v>
      </c>
      <c r="E70" s="113" t="s">
        <v>726</v>
      </c>
      <c r="F70" s="115">
        <v>5095</v>
      </c>
      <c r="G70" s="113" t="s">
        <v>1873</v>
      </c>
      <c r="H70" s="113" t="s">
        <v>1874</v>
      </c>
      <c r="I70" s="113" t="s">
        <v>1875</v>
      </c>
      <c r="J70" s="116" t="s">
        <v>1876</v>
      </c>
    </row>
    <row r="71" spans="2:10" x14ac:dyDescent="0.25">
      <c r="B71" s="130" t="s">
        <v>1844</v>
      </c>
      <c r="C71" s="133" t="s">
        <v>447</v>
      </c>
      <c r="D71" s="133"/>
      <c r="E71" s="133"/>
      <c r="F71" s="133"/>
      <c r="G71" s="133"/>
      <c r="H71" s="133"/>
      <c r="I71" s="133" t="s">
        <v>448</v>
      </c>
      <c r="J71" s="141" t="s">
        <v>449</v>
      </c>
    </row>
    <row r="72" spans="2:10" x14ac:dyDescent="0.25">
      <c r="B72" s="130" t="s">
        <v>362</v>
      </c>
      <c r="C72" s="133" t="s">
        <v>363</v>
      </c>
      <c r="D72" s="133"/>
      <c r="E72" s="133"/>
      <c r="F72" s="133"/>
      <c r="G72" s="133"/>
      <c r="H72" s="133"/>
      <c r="I72" s="133" t="s">
        <v>1676</v>
      </c>
      <c r="J72" s="141" t="s">
        <v>1677</v>
      </c>
    </row>
    <row r="73" spans="2:10" x14ac:dyDescent="0.25">
      <c r="B73" s="108" t="s">
        <v>1696</v>
      </c>
      <c r="C73" s="113" t="s">
        <v>1697</v>
      </c>
      <c r="D73" s="114" t="s">
        <v>1629</v>
      </c>
      <c r="E73" s="113" t="s">
        <v>726</v>
      </c>
      <c r="F73" s="115">
        <v>5095</v>
      </c>
      <c r="G73" s="113" t="s">
        <v>1698</v>
      </c>
      <c r="H73" s="113" t="s">
        <v>1675</v>
      </c>
      <c r="I73" s="113" t="s">
        <v>1699</v>
      </c>
      <c r="J73" s="116" t="s">
        <v>1700</v>
      </c>
    </row>
    <row r="74" spans="2:10" x14ac:dyDescent="0.25">
      <c r="B74" s="130" t="s">
        <v>338</v>
      </c>
      <c r="C74" s="133" t="s">
        <v>339</v>
      </c>
      <c r="D74" s="133"/>
      <c r="E74" s="133"/>
      <c r="F74" s="133"/>
      <c r="G74" s="133"/>
      <c r="H74" s="133"/>
      <c r="I74" s="133" t="s">
        <v>340</v>
      </c>
      <c r="J74" s="141" t="s">
        <v>341</v>
      </c>
    </row>
    <row r="75" spans="2:10" x14ac:dyDescent="0.25">
      <c r="B75" s="108" t="s">
        <v>2331</v>
      </c>
      <c r="C75" s="109" t="s">
        <v>2332</v>
      </c>
      <c r="D75" s="110" t="s">
        <v>2333</v>
      </c>
      <c r="E75" s="109" t="s">
        <v>726</v>
      </c>
      <c r="F75" s="111">
        <v>5132</v>
      </c>
      <c r="G75" s="109" t="s">
        <v>2334</v>
      </c>
      <c r="H75" s="109" t="s">
        <v>2335</v>
      </c>
      <c r="I75" s="109" t="s">
        <v>2336</v>
      </c>
      <c r="J75" s="112" t="s">
        <v>2337</v>
      </c>
    </row>
    <row r="76" spans="2:10" x14ac:dyDescent="0.25">
      <c r="B76" s="117" t="s">
        <v>2028</v>
      </c>
      <c r="C76" s="118" t="s">
        <v>2029</v>
      </c>
      <c r="D76" s="114" t="s">
        <v>1629</v>
      </c>
      <c r="E76" s="118" t="s">
        <v>726</v>
      </c>
      <c r="F76" s="119">
        <v>5095</v>
      </c>
      <c r="G76" s="113" t="s">
        <v>2030</v>
      </c>
      <c r="H76" s="113" t="s">
        <v>2031</v>
      </c>
      <c r="I76" s="113" t="s">
        <v>2032</v>
      </c>
      <c r="J76" s="116" t="s">
        <v>2033</v>
      </c>
    </row>
    <row r="77" spans="2:10" x14ac:dyDescent="0.25">
      <c r="B77" s="108" t="s">
        <v>1754</v>
      </c>
      <c r="C77" s="113" t="s">
        <v>1755</v>
      </c>
      <c r="D77" s="114" t="s">
        <v>1629</v>
      </c>
      <c r="E77" s="113" t="s">
        <v>726</v>
      </c>
      <c r="F77" s="115">
        <v>5095</v>
      </c>
      <c r="G77" s="113" t="s">
        <v>1756</v>
      </c>
      <c r="H77" s="113" t="s">
        <v>1757</v>
      </c>
      <c r="I77" s="113" t="s">
        <v>1758</v>
      </c>
      <c r="J77" s="116" t="s">
        <v>1759</v>
      </c>
    </row>
    <row r="78" spans="2:10" x14ac:dyDescent="0.25">
      <c r="B78" s="108" t="s">
        <v>2202</v>
      </c>
      <c r="C78" s="109" t="s">
        <v>2203</v>
      </c>
      <c r="D78" s="110" t="s">
        <v>2204</v>
      </c>
      <c r="E78" s="109" t="s">
        <v>726</v>
      </c>
      <c r="F78" s="111">
        <v>5240</v>
      </c>
      <c r="G78" s="109" t="s">
        <v>2205</v>
      </c>
      <c r="H78" s="109" t="s">
        <v>2206</v>
      </c>
      <c r="I78" s="109" t="s">
        <v>2207</v>
      </c>
      <c r="J78" s="112" t="s">
        <v>2208</v>
      </c>
    </row>
    <row r="79" spans="2:10" x14ac:dyDescent="0.25">
      <c r="B79" s="130" t="s">
        <v>296</v>
      </c>
      <c r="C79" s="133" t="s">
        <v>297</v>
      </c>
      <c r="D79" s="133"/>
      <c r="E79" s="133"/>
      <c r="F79" s="133"/>
      <c r="G79" s="133"/>
      <c r="H79" s="133"/>
      <c r="I79" s="133" t="s">
        <v>298</v>
      </c>
      <c r="J79" s="141" t="s">
        <v>299</v>
      </c>
    </row>
    <row r="80" spans="2:10" x14ac:dyDescent="0.25">
      <c r="B80" s="108" t="s">
        <v>1778</v>
      </c>
      <c r="C80" s="113" t="s">
        <v>1779</v>
      </c>
      <c r="D80" s="114" t="s">
        <v>1629</v>
      </c>
      <c r="E80" s="113" t="s">
        <v>726</v>
      </c>
      <c r="F80" s="115">
        <v>5095</v>
      </c>
      <c r="G80" s="113" t="s">
        <v>1780</v>
      </c>
      <c r="H80" s="113" t="s">
        <v>1781</v>
      </c>
      <c r="I80" s="113" t="s">
        <v>1782</v>
      </c>
      <c r="J80" s="116" t="s">
        <v>1787</v>
      </c>
    </row>
    <row r="81" spans="2:11" x14ac:dyDescent="0.25">
      <c r="B81" s="117" t="s">
        <v>2047</v>
      </c>
      <c r="C81" s="118" t="s">
        <v>2048</v>
      </c>
      <c r="D81" s="114" t="s">
        <v>1629</v>
      </c>
      <c r="E81" s="118" t="s">
        <v>726</v>
      </c>
      <c r="F81" s="119">
        <v>5095</v>
      </c>
      <c r="G81" s="113" t="s">
        <v>2049</v>
      </c>
      <c r="H81" s="113" t="s">
        <v>2050</v>
      </c>
      <c r="I81" s="113" t="s">
        <v>2051</v>
      </c>
      <c r="J81" s="116" t="s">
        <v>2052</v>
      </c>
    </row>
    <row r="82" spans="2:11" x14ac:dyDescent="0.25">
      <c r="B82" s="117" t="s">
        <v>1968</v>
      </c>
      <c r="C82" s="118" t="s">
        <v>1969</v>
      </c>
      <c r="D82" s="114" t="s">
        <v>1970</v>
      </c>
      <c r="E82" s="118" t="s">
        <v>1942</v>
      </c>
      <c r="F82" s="119">
        <v>5098</v>
      </c>
      <c r="G82" s="113" t="s">
        <v>1971</v>
      </c>
      <c r="H82" s="113" t="s">
        <v>1972</v>
      </c>
      <c r="I82" s="113" t="s">
        <v>1973</v>
      </c>
      <c r="J82" s="116" t="s">
        <v>1974</v>
      </c>
    </row>
    <row r="83" spans="2:11" x14ac:dyDescent="0.25">
      <c r="B83" s="108" t="s">
        <v>2293</v>
      </c>
      <c r="C83" s="109" t="s">
        <v>2294</v>
      </c>
      <c r="D83" s="110" t="s">
        <v>2258</v>
      </c>
      <c r="E83" s="109" t="s">
        <v>726</v>
      </c>
      <c r="F83" s="111">
        <v>5076</v>
      </c>
      <c r="G83" s="109" t="s">
        <v>2303</v>
      </c>
      <c r="H83" s="109" t="s">
        <v>1801</v>
      </c>
      <c r="I83" s="109" t="s">
        <v>2304</v>
      </c>
      <c r="J83" s="112" t="s">
        <v>2305</v>
      </c>
    </row>
    <row r="84" spans="2:11" x14ac:dyDescent="0.25">
      <c r="B84" s="130" t="s">
        <v>1894</v>
      </c>
      <c r="C84" s="133" t="s">
        <v>451</v>
      </c>
      <c r="D84" s="133"/>
      <c r="E84" s="133"/>
      <c r="F84" s="133"/>
      <c r="G84" s="133"/>
      <c r="H84" s="133"/>
      <c r="I84" s="133" t="s">
        <v>452</v>
      </c>
      <c r="J84" s="141" t="s">
        <v>453</v>
      </c>
    </row>
    <row r="85" spans="2:11" x14ac:dyDescent="0.25">
      <c r="B85" s="108" t="s">
        <v>1641</v>
      </c>
      <c r="C85" s="113" t="s">
        <v>1642</v>
      </c>
      <c r="D85" s="114" t="s">
        <v>1629</v>
      </c>
      <c r="E85" s="113" t="s">
        <v>726</v>
      </c>
      <c r="F85" s="115">
        <v>5095</v>
      </c>
      <c r="G85" s="113" t="s">
        <v>1643</v>
      </c>
      <c r="H85" s="113" t="s">
        <v>1644</v>
      </c>
      <c r="I85" s="113" t="s">
        <v>1645</v>
      </c>
      <c r="J85" s="116" t="s">
        <v>1655</v>
      </c>
    </row>
    <row r="86" spans="2:11" x14ac:dyDescent="0.25">
      <c r="B86" s="130" t="s">
        <v>346</v>
      </c>
      <c r="C86" s="133" t="s">
        <v>347</v>
      </c>
      <c r="D86" s="133"/>
      <c r="E86" s="133"/>
      <c r="F86" s="133"/>
      <c r="G86" s="133"/>
      <c r="H86" s="133"/>
      <c r="I86" s="133" t="s">
        <v>348</v>
      </c>
      <c r="J86" s="141" t="s">
        <v>349</v>
      </c>
    </row>
    <row r="87" spans="2:11" x14ac:dyDescent="0.25">
      <c r="B87" s="130" t="s">
        <v>203</v>
      </c>
      <c r="C87" s="133" t="s">
        <v>187</v>
      </c>
      <c r="D87" s="133"/>
      <c r="E87" s="133"/>
      <c r="F87" s="133"/>
      <c r="G87" s="133"/>
      <c r="H87" s="133"/>
      <c r="I87" s="133" t="s">
        <v>204</v>
      </c>
      <c r="J87" s="141" t="s">
        <v>205</v>
      </c>
    </row>
    <row r="88" spans="2:11" x14ac:dyDescent="0.25">
      <c r="B88" s="130" t="s">
        <v>145</v>
      </c>
      <c r="C88" s="133" t="s">
        <v>146</v>
      </c>
      <c r="D88" s="133"/>
      <c r="E88" s="133"/>
      <c r="F88" s="133"/>
      <c r="G88" s="133"/>
      <c r="H88" s="133"/>
      <c r="I88" s="133" t="s">
        <v>147</v>
      </c>
      <c r="J88" s="141" t="s">
        <v>148</v>
      </c>
    </row>
    <row r="89" spans="2:11" x14ac:dyDescent="0.25">
      <c r="B89" s="108" t="s">
        <v>1678</v>
      </c>
      <c r="C89" s="113" t="s">
        <v>1679</v>
      </c>
      <c r="D89" s="114" t="s">
        <v>1629</v>
      </c>
      <c r="E89" s="113" t="s">
        <v>726</v>
      </c>
      <c r="F89" s="115">
        <v>5095</v>
      </c>
      <c r="G89" s="113" t="s">
        <v>1686</v>
      </c>
      <c r="H89" s="113" t="s">
        <v>1687</v>
      </c>
      <c r="I89" s="113" t="s">
        <v>1688</v>
      </c>
      <c r="J89" s="116" t="s">
        <v>1689</v>
      </c>
    </row>
    <row r="90" spans="2:11" x14ac:dyDescent="0.25">
      <c r="B90" s="108" t="s">
        <v>1666</v>
      </c>
      <c r="C90" s="113" t="s">
        <v>1667</v>
      </c>
      <c r="D90" s="114" t="s">
        <v>1629</v>
      </c>
      <c r="E90" s="113" t="s">
        <v>726</v>
      </c>
      <c r="F90" s="115">
        <v>5095</v>
      </c>
      <c r="G90" s="113" t="s">
        <v>1668</v>
      </c>
      <c r="H90" s="113" t="s">
        <v>1669</v>
      </c>
      <c r="I90" s="113" t="s">
        <v>1670</v>
      </c>
      <c r="J90" s="116" t="s">
        <v>1671</v>
      </c>
    </row>
    <row r="91" spans="2:11" x14ac:dyDescent="0.25">
      <c r="B91" s="130" t="s">
        <v>274</v>
      </c>
      <c r="C91" s="133" t="s">
        <v>275</v>
      </c>
      <c r="D91" s="133"/>
      <c r="E91" s="133"/>
      <c r="F91" s="133"/>
      <c r="G91" s="133"/>
      <c r="H91" s="133"/>
      <c r="I91" s="133" t="s">
        <v>276</v>
      </c>
      <c r="J91" s="141" t="s">
        <v>277</v>
      </c>
    </row>
    <row r="92" spans="2:11" x14ac:dyDescent="0.25">
      <c r="B92" s="108" t="s">
        <v>2226</v>
      </c>
      <c r="C92" s="109" t="s">
        <v>2227</v>
      </c>
      <c r="D92" s="110" t="s">
        <v>2081</v>
      </c>
      <c r="E92" s="109" t="s">
        <v>726</v>
      </c>
      <c r="F92" s="111">
        <v>5120</v>
      </c>
      <c r="G92" s="109" t="s">
        <v>2228</v>
      </c>
      <c r="H92" s="109" t="s">
        <v>2229</v>
      </c>
      <c r="I92" s="109" t="s">
        <v>2230</v>
      </c>
      <c r="J92" s="112" t="s">
        <v>2231</v>
      </c>
    </row>
    <row r="93" spans="2:11" x14ac:dyDescent="0.25">
      <c r="B93" s="120" t="s">
        <v>1798</v>
      </c>
      <c r="C93" s="121" t="s">
        <v>1799</v>
      </c>
      <c r="D93" s="122" t="s">
        <v>1629</v>
      </c>
      <c r="E93" s="121" t="s">
        <v>726</v>
      </c>
      <c r="F93" s="123">
        <v>5095</v>
      </c>
      <c r="G93" s="121" t="s">
        <v>1800</v>
      </c>
      <c r="H93" s="121" t="s">
        <v>1801</v>
      </c>
      <c r="I93" s="121" t="s">
        <v>1802</v>
      </c>
      <c r="J93" s="124" t="s">
        <v>1803</v>
      </c>
    </row>
    <row r="94" spans="2:11" x14ac:dyDescent="0.25">
      <c r="B94" s="107" t="s">
        <v>368</v>
      </c>
      <c r="C94" s="107" t="s">
        <v>369</v>
      </c>
      <c r="D94" s="107"/>
      <c r="E94" s="107"/>
      <c r="F94" s="107"/>
      <c r="G94" s="107"/>
      <c r="H94" s="107"/>
      <c r="I94" s="107" t="s">
        <v>1802</v>
      </c>
      <c r="J94" s="107" t="s">
        <v>1803</v>
      </c>
      <c r="K94" s="107"/>
    </row>
    <row r="95" spans="2:11" x14ac:dyDescent="0.25">
      <c r="B95" s="131" t="s">
        <v>2306</v>
      </c>
      <c r="C95" s="131" t="s">
        <v>2307</v>
      </c>
      <c r="D95" s="136" t="s">
        <v>2308</v>
      </c>
      <c r="E95" s="131" t="s">
        <v>726</v>
      </c>
      <c r="F95" s="138">
        <v>5108</v>
      </c>
      <c r="G95" s="131" t="s">
        <v>2317</v>
      </c>
      <c r="H95" s="131"/>
      <c r="I95" s="131" t="s">
        <v>2318</v>
      </c>
      <c r="J95" s="131" t="s">
        <v>2319</v>
      </c>
      <c r="K95" s="107"/>
    </row>
    <row r="96" spans="2:11" x14ac:dyDescent="0.25">
      <c r="B96" s="107" t="s">
        <v>125</v>
      </c>
      <c r="C96" s="107" t="s">
        <v>135</v>
      </c>
      <c r="D96" s="107"/>
      <c r="E96" s="107"/>
      <c r="F96" s="107"/>
      <c r="G96" s="107"/>
      <c r="H96" s="107"/>
      <c r="I96" s="107" t="s">
        <v>136</v>
      </c>
      <c r="J96" s="107" t="s">
        <v>137</v>
      </c>
      <c r="K96" s="107" t="s">
        <v>124</v>
      </c>
    </row>
    <row r="97" spans="2:11" x14ac:dyDescent="0.25">
      <c r="B97" s="107" t="s">
        <v>351</v>
      </c>
      <c r="C97" s="107" t="s">
        <v>352</v>
      </c>
      <c r="D97" s="107"/>
      <c r="E97" s="107"/>
      <c r="F97" s="107"/>
      <c r="G97" s="107"/>
      <c r="H97" s="107"/>
      <c r="I97" s="107" t="s">
        <v>295</v>
      </c>
      <c r="J97" s="107" t="s">
        <v>295</v>
      </c>
      <c r="K97" s="107"/>
    </row>
    <row r="98" spans="2:11" x14ac:dyDescent="0.25">
      <c r="B98" s="107" t="s">
        <v>293</v>
      </c>
      <c r="C98" s="107" t="s">
        <v>294</v>
      </c>
      <c r="D98" s="107"/>
      <c r="E98" s="107"/>
      <c r="F98" s="107"/>
      <c r="G98" s="107"/>
      <c r="H98" s="107"/>
      <c r="I98" s="107" t="s">
        <v>295</v>
      </c>
      <c r="J98" s="107" t="s">
        <v>295</v>
      </c>
      <c r="K98" s="107" t="s">
        <v>140</v>
      </c>
    </row>
    <row r="99" spans="2:11" x14ac:dyDescent="0.25">
      <c r="B99" s="107" t="s">
        <v>279</v>
      </c>
      <c r="C99" s="107" t="s">
        <v>280</v>
      </c>
      <c r="D99" s="107"/>
      <c r="E99" s="107"/>
      <c r="F99" s="107"/>
      <c r="G99" s="107"/>
      <c r="H99" s="107"/>
      <c r="I99" s="107" t="s">
        <v>281</v>
      </c>
      <c r="J99" s="107" t="s">
        <v>282</v>
      </c>
      <c r="K99" s="107"/>
    </row>
    <row r="100" spans="2:11" x14ac:dyDescent="0.25">
      <c r="B100" s="131" t="s">
        <v>2085</v>
      </c>
      <c r="C100" s="131" t="s">
        <v>2086</v>
      </c>
      <c r="D100" s="136" t="s">
        <v>2087</v>
      </c>
      <c r="E100" s="131" t="s">
        <v>726</v>
      </c>
      <c r="F100" s="138">
        <v>5108</v>
      </c>
      <c r="G100" s="131" t="s">
        <v>2088</v>
      </c>
      <c r="H100" s="131" t="s">
        <v>2089</v>
      </c>
      <c r="I100" s="131" t="s">
        <v>2090</v>
      </c>
      <c r="J100" s="131"/>
      <c r="K100" s="107" t="s">
        <v>149</v>
      </c>
    </row>
    <row r="101" spans="2:11" x14ac:dyDescent="0.25">
      <c r="B101" s="107" t="s">
        <v>174</v>
      </c>
      <c r="C101" s="107" t="s">
        <v>175</v>
      </c>
      <c r="D101" s="107"/>
      <c r="E101" s="107"/>
      <c r="F101" s="107"/>
      <c r="G101" s="107"/>
      <c r="H101" s="107"/>
      <c r="I101" s="107" t="s">
        <v>176</v>
      </c>
      <c r="J101" s="107" t="s">
        <v>177</v>
      </c>
      <c r="K101" s="107"/>
    </row>
    <row r="102" spans="2:11" x14ac:dyDescent="0.25">
      <c r="B102" s="107" t="s">
        <v>232</v>
      </c>
      <c r="C102" s="107" t="s">
        <v>233</v>
      </c>
      <c r="D102" s="107"/>
      <c r="E102" s="107"/>
      <c r="F102" s="107"/>
      <c r="G102" s="107"/>
      <c r="H102" s="107"/>
      <c r="I102" s="107" t="s">
        <v>234</v>
      </c>
      <c r="J102" s="107" t="s">
        <v>235</v>
      </c>
      <c r="K102" s="107" t="s">
        <v>154</v>
      </c>
    </row>
    <row r="103" spans="2:11" x14ac:dyDescent="0.25">
      <c r="B103" s="131" t="s">
        <v>2250</v>
      </c>
      <c r="C103" s="131" t="s">
        <v>2251</v>
      </c>
      <c r="D103" s="136" t="s">
        <v>2252</v>
      </c>
      <c r="E103" s="131" t="s">
        <v>726</v>
      </c>
      <c r="F103" s="138">
        <v>5501</v>
      </c>
      <c r="G103" s="131" t="s">
        <v>2253</v>
      </c>
      <c r="H103" s="131" t="s">
        <v>2254</v>
      </c>
      <c r="I103" s="131" t="s">
        <v>2255</v>
      </c>
      <c r="J103" s="131" t="s">
        <v>2255</v>
      </c>
      <c r="K103" s="107" t="s">
        <v>159</v>
      </c>
    </row>
    <row r="104" spans="2:11" x14ac:dyDescent="0.25">
      <c r="B104" s="131" t="s">
        <v>2034</v>
      </c>
      <c r="C104" s="134" t="s">
        <v>2035</v>
      </c>
      <c r="D104" s="135" t="s">
        <v>2036</v>
      </c>
      <c r="E104" s="134" t="s">
        <v>1942</v>
      </c>
      <c r="F104" s="139">
        <v>5043</v>
      </c>
      <c r="G104" s="134" t="s">
        <v>2037</v>
      </c>
      <c r="H104" s="134" t="s">
        <v>2038</v>
      </c>
      <c r="I104" s="134" t="s">
        <v>2039</v>
      </c>
      <c r="J104" s="134" t="s">
        <v>2040</v>
      </c>
      <c r="K104" s="107" t="s">
        <v>164</v>
      </c>
    </row>
    <row r="105" spans="2:11" x14ac:dyDescent="0.25">
      <c r="B105" s="129" t="s">
        <v>1939</v>
      </c>
      <c r="C105" s="132" t="s">
        <v>1940</v>
      </c>
      <c r="D105" s="135" t="s">
        <v>1941</v>
      </c>
      <c r="E105" s="132" t="s">
        <v>1942</v>
      </c>
      <c r="F105" s="137">
        <v>5094</v>
      </c>
      <c r="G105" s="134" t="s">
        <v>1943</v>
      </c>
      <c r="H105" s="134" t="s">
        <v>1944</v>
      </c>
      <c r="I105" s="134"/>
      <c r="J105" s="134" t="s">
        <v>1945</v>
      </c>
      <c r="K105" s="107" t="s">
        <v>169</v>
      </c>
    </row>
    <row r="106" spans="2:11" x14ac:dyDescent="0.25">
      <c r="B106" s="131" t="s">
        <v>1712</v>
      </c>
      <c r="C106" s="134" t="s">
        <v>1713</v>
      </c>
      <c r="D106" s="135" t="s">
        <v>1629</v>
      </c>
      <c r="E106" s="134" t="s">
        <v>726</v>
      </c>
      <c r="F106" s="139">
        <v>5095</v>
      </c>
      <c r="G106" s="134" t="s">
        <v>1714</v>
      </c>
      <c r="H106" s="134" t="s">
        <v>1715</v>
      </c>
      <c r="I106" s="134" t="s">
        <v>1716</v>
      </c>
      <c r="J106" s="134" t="s">
        <v>1717</v>
      </c>
      <c r="K106" s="107" t="s">
        <v>169</v>
      </c>
    </row>
    <row r="107" spans="2:11" x14ac:dyDescent="0.25">
      <c r="B107" s="131" t="s">
        <v>1925</v>
      </c>
      <c r="C107" s="134" t="s">
        <v>1926</v>
      </c>
      <c r="D107" s="135" t="s">
        <v>1629</v>
      </c>
      <c r="E107" s="134" t="s">
        <v>726</v>
      </c>
      <c r="F107" s="139">
        <v>5095</v>
      </c>
      <c r="G107" s="134" t="s">
        <v>1927</v>
      </c>
      <c r="H107" s="134" t="s">
        <v>1936</v>
      </c>
      <c r="I107" s="134" t="s">
        <v>1937</v>
      </c>
      <c r="J107" s="134" t="s">
        <v>1938</v>
      </c>
      <c r="K107" s="107" t="s">
        <v>178</v>
      </c>
    </row>
    <row r="108" spans="2:11" x14ac:dyDescent="0.25">
      <c r="B108" s="107" t="s">
        <v>492</v>
      </c>
      <c r="C108" s="107" t="s">
        <v>493</v>
      </c>
      <c r="D108" s="107"/>
      <c r="E108" s="107"/>
      <c r="F108" s="107"/>
      <c r="G108" s="107"/>
      <c r="H108" s="107"/>
      <c r="I108" s="107" t="s">
        <v>494</v>
      </c>
      <c r="J108" s="107" t="s">
        <v>495</v>
      </c>
      <c r="K108" s="107" t="s">
        <v>185</v>
      </c>
    </row>
    <row r="109" spans="2:11" x14ac:dyDescent="0.25">
      <c r="B109" s="131" t="s">
        <v>1656</v>
      </c>
      <c r="C109" s="134" t="s">
        <v>1657</v>
      </c>
      <c r="D109" s="135" t="s">
        <v>1658</v>
      </c>
      <c r="E109" s="134" t="s">
        <v>726</v>
      </c>
      <c r="F109" s="139">
        <v>5120</v>
      </c>
      <c r="G109" s="134" t="s">
        <v>1659</v>
      </c>
      <c r="H109" s="134" t="s">
        <v>1660</v>
      </c>
      <c r="I109" s="134" t="s">
        <v>1665</v>
      </c>
      <c r="J109" s="134" t="s">
        <v>1665</v>
      </c>
      <c r="K109" s="107" t="s">
        <v>190</v>
      </c>
    </row>
    <row r="110" spans="2:11" x14ac:dyDescent="0.25">
      <c r="B110" s="107" t="s">
        <v>213</v>
      </c>
      <c r="C110" s="107" t="s">
        <v>214</v>
      </c>
      <c r="D110" s="107"/>
      <c r="E110" s="107"/>
      <c r="F110" s="107"/>
      <c r="G110" s="107"/>
      <c r="H110" s="107"/>
      <c r="I110" s="107" t="s">
        <v>215</v>
      </c>
      <c r="J110" s="107" t="s">
        <v>216</v>
      </c>
      <c r="K110" s="107" t="s">
        <v>202</v>
      </c>
    </row>
    <row r="111" spans="2:11" x14ac:dyDescent="0.25">
      <c r="B111" s="131" t="s">
        <v>2196</v>
      </c>
      <c r="C111" s="131" t="s">
        <v>2197</v>
      </c>
      <c r="D111" s="136" t="s">
        <v>2198</v>
      </c>
      <c r="E111" s="131" t="s">
        <v>726</v>
      </c>
      <c r="F111" s="138">
        <v>5241</v>
      </c>
      <c r="G111" s="131" t="s">
        <v>2199</v>
      </c>
      <c r="H111" s="131" t="s">
        <v>2200</v>
      </c>
      <c r="I111" s="131" t="s">
        <v>2201</v>
      </c>
      <c r="J111" s="131"/>
      <c r="K111" s="107" t="s">
        <v>206</v>
      </c>
    </row>
    <row r="112" spans="2:11" x14ac:dyDescent="0.25">
      <c r="B112" s="131" t="s">
        <v>2103</v>
      </c>
      <c r="C112" s="131" t="s">
        <v>2104</v>
      </c>
      <c r="D112" s="136" t="s">
        <v>2075</v>
      </c>
      <c r="E112" s="131" t="s">
        <v>726</v>
      </c>
      <c r="F112" s="138">
        <v>5110</v>
      </c>
      <c r="G112" s="131" t="s">
        <v>2105</v>
      </c>
      <c r="H112" s="131" t="s">
        <v>1801</v>
      </c>
      <c r="I112" s="131" t="s">
        <v>2106</v>
      </c>
      <c r="J112" s="131"/>
      <c r="K112" s="107" t="s">
        <v>211</v>
      </c>
    </row>
    <row r="113" spans="2:11" x14ac:dyDescent="0.25">
      <c r="B113" s="131" t="s">
        <v>1690</v>
      </c>
      <c r="C113" s="134" t="s">
        <v>1691</v>
      </c>
      <c r="D113" s="135" t="s">
        <v>1629</v>
      </c>
      <c r="E113" s="134" t="s">
        <v>726</v>
      </c>
      <c r="F113" s="139">
        <v>5095</v>
      </c>
      <c r="G113" s="134" t="s">
        <v>1692</v>
      </c>
      <c r="H113" s="134" t="s">
        <v>1693</v>
      </c>
      <c r="I113" s="134" t="s">
        <v>1694</v>
      </c>
      <c r="J113" s="134" t="s">
        <v>1695</v>
      </c>
      <c r="K113" s="107" t="s">
        <v>212</v>
      </c>
    </row>
    <row r="114" spans="2:11" x14ac:dyDescent="0.25">
      <c r="B114" s="107" t="s">
        <v>301</v>
      </c>
      <c r="C114" s="107" t="s">
        <v>302</v>
      </c>
      <c r="D114" s="107"/>
      <c r="E114" s="107"/>
      <c r="F114" s="107"/>
      <c r="G114" s="107"/>
      <c r="H114" s="107"/>
      <c r="I114" s="107" t="s">
        <v>303</v>
      </c>
      <c r="J114" s="107" t="s">
        <v>303</v>
      </c>
      <c r="K114" s="107" t="s">
        <v>217</v>
      </c>
    </row>
    <row r="115" spans="2:11" x14ac:dyDescent="0.25">
      <c r="B115" s="107" t="s">
        <v>305</v>
      </c>
      <c r="C115" s="107" t="s">
        <v>306</v>
      </c>
      <c r="D115" s="107"/>
      <c r="E115" s="107"/>
      <c r="F115" s="107"/>
      <c r="G115" s="107"/>
      <c r="H115" s="107"/>
      <c r="I115" s="107" t="s">
        <v>307</v>
      </c>
      <c r="J115" s="107" t="s">
        <v>308</v>
      </c>
      <c r="K115" s="107" t="s">
        <v>218</v>
      </c>
    </row>
    <row r="116" spans="2:11" x14ac:dyDescent="0.25">
      <c r="B116" s="131" t="s">
        <v>1749</v>
      </c>
      <c r="C116" s="134" t="s">
        <v>1750</v>
      </c>
      <c r="D116" s="135" t="s">
        <v>1629</v>
      </c>
      <c r="E116" s="134" t="s">
        <v>726</v>
      </c>
      <c r="F116" s="139">
        <v>5095</v>
      </c>
      <c r="G116" s="134" t="s">
        <v>1751</v>
      </c>
      <c r="H116" s="134" t="s">
        <v>1746</v>
      </c>
      <c r="I116" s="134" t="s">
        <v>1752</v>
      </c>
      <c r="J116" s="134" t="s">
        <v>1753</v>
      </c>
      <c r="K116" s="107" t="s">
        <v>185</v>
      </c>
    </row>
    <row r="117" spans="2:11" x14ac:dyDescent="0.25">
      <c r="B117" s="131" t="s">
        <v>1948</v>
      </c>
      <c r="C117" s="132" t="s">
        <v>1949</v>
      </c>
      <c r="D117" s="135" t="s">
        <v>1629</v>
      </c>
      <c r="E117" s="132" t="s">
        <v>1942</v>
      </c>
      <c r="F117" s="137">
        <v>5095</v>
      </c>
      <c r="G117" s="134" t="s">
        <v>1950</v>
      </c>
      <c r="H117" s="134" t="s">
        <v>1856</v>
      </c>
      <c r="I117" s="134" t="s">
        <v>1951</v>
      </c>
      <c r="J117" s="134" t="s">
        <v>1958</v>
      </c>
      <c r="K117" s="107" t="s">
        <v>236</v>
      </c>
    </row>
    <row r="118" spans="2:11" x14ac:dyDescent="0.25">
      <c r="B118" s="107" t="s">
        <v>310</v>
      </c>
      <c r="C118" s="107" t="s">
        <v>311</v>
      </c>
      <c r="D118" s="107"/>
      <c r="E118" s="107"/>
      <c r="F118" s="107"/>
      <c r="G118" s="107"/>
      <c r="H118" s="107"/>
      <c r="I118" s="107" t="s">
        <v>312</v>
      </c>
      <c r="J118" s="107" t="s">
        <v>313</v>
      </c>
      <c r="K118" s="107" t="s">
        <v>241</v>
      </c>
    </row>
    <row r="119" spans="2:11" x14ac:dyDescent="0.25">
      <c r="B119" s="131" t="s">
        <v>2320</v>
      </c>
      <c r="C119" s="131" t="s">
        <v>2321</v>
      </c>
      <c r="D119" s="136" t="s">
        <v>2081</v>
      </c>
      <c r="E119" s="131" t="s">
        <v>726</v>
      </c>
      <c r="F119" s="138">
        <v>5120</v>
      </c>
      <c r="G119" s="131" t="s">
        <v>2322</v>
      </c>
      <c r="H119" s="131" t="s">
        <v>2323</v>
      </c>
      <c r="I119" s="131" t="s">
        <v>2324</v>
      </c>
      <c r="J119" s="131" t="s">
        <v>2325</v>
      </c>
      <c r="K119" s="107" t="s">
        <v>246</v>
      </c>
    </row>
    <row r="120" spans="2:11" x14ac:dyDescent="0.25">
      <c r="B120" s="107" t="s">
        <v>155</v>
      </c>
      <c r="C120" s="107" t="s">
        <v>156</v>
      </c>
      <c r="D120" s="107"/>
      <c r="E120" s="107"/>
      <c r="F120" s="107"/>
      <c r="G120" s="107"/>
      <c r="H120" s="107"/>
      <c r="I120" s="107" t="s">
        <v>157</v>
      </c>
      <c r="J120" s="107" t="s">
        <v>158</v>
      </c>
      <c r="K120" s="107" t="s">
        <v>185</v>
      </c>
    </row>
    <row r="121" spans="2:11" x14ac:dyDescent="0.25">
      <c r="B121" s="131" t="s">
        <v>1853</v>
      </c>
      <c r="C121" s="134" t="s">
        <v>1854</v>
      </c>
      <c r="D121" s="135" t="s">
        <v>1629</v>
      </c>
      <c r="E121" s="134" t="s">
        <v>726</v>
      </c>
      <c r="F121" s="139">
        <v>5095</v>
      </c>
      <c r="G121" s="134" t="s">
        <v>1855</v>
      </c>
      <c r="H121" s="134" t="s">
        <v>1856</v>
      </c>
      <c r="I121" s="134" t="s">
        <v>1857</v>
      </c>
      <c r="J121" s="134" t="s">
        <v>1858</v>
      </c>
      <c r="K121" s="107" t="s">
        <v>268</v>
      </c>
    </row>
    <row r="122" spans="2:11" x14ac:dyDescent="0.25">
      <c r="B122" s="131" t="s">
        <v>2173</v>
      </c>
      <c r="C122" s="131" t="s">
        <v>2174</v>
      </c>
      <c r="D122" s="136" t="s">
        <v>2081</v>
      </c>
      <c r="E122" s="131" t="s">
        <v>726</v>
      </c>
      <c r="F122" s="138">
        <v>5120</v>
      </c>
      <c r="G122" s="131" t="s">
        <v>2175</v>
      </c>
      <c r="H122" s="131" t="s">
        <v>2176</v>
      </c>
      <c r="I122" s="131" t="s">
        <v>2177</v>
      </c>
      <c r="J122" s="131"/>
      <c r="K122" s="107" t="s">
        <v>273</v>
      </c>
    </row>
    <row r="123" spans="2:11" x14ac:dyDescent="0.25">
      <c r="B123" s="131" t="s">
        <v>2067</v>
      </c>
      <c r="C123" s="131" t="s">
        <v>2068</v>
      </c>
      <c r="D123" s="136" t="s">
        <v>2069</v>
      </c>
      <c r="E123" s="131" t="s">
        <v>726</v>
      </c>
      <c r="F123" s="138">
        <v>5008</v>
      </c>
      <c r="G123" s="131" t="s">
        <v>2070</v>
      </c>
      <c r="H123" s="131" t="s">
        <v>1850</v>
      </c>
      <c r="I123" s="131" t="s">
        <v>2071</v>
      </c>
      <c r="J123" s="131" t="s">
        <v>2072</v>
      </c>
      <c r="K123" s="107" t="s">
        <v>278</v>
      </c>
    </row>
    <row r="124" spans="2:11" x14ac:dyDescent="0.25">
      <c r="B124" s="107" t="s">
        <v>253</v>
      </c>
      <c r="C124" s="107" t="s">
        <v>265</v>
      </c>
      <c r="D124" s="107"/>
      <c r="E124" s="107"/>
      <c r="F124" s="107"/>
      <c r="G124" s="107"/>
      <c r="H124" s="107"/>
      <c r="I124" s="107" t="s">
        <v>266</v>
      </c>
      <c r="J124" s="107" t="s">
        <v>267</v>
      </c>
      <c r="K124" s="107" t="s">
        <v>283</v>
      </c>
    </row>
    <row r="125" spans="2:11" x14ac:dyDescent="0.25">
      <c r="B125" s="131" t="s">
        <v>1903</v>
      </c>
      <c r="C125" s="134" t="s">
        <v>1904</v>
      </c>
      <c r="D125" s="135" t="s">
        <v>1629</v>
      </c>
      <c r="E125" s="134" t="s">
        <v>726</v>
      </c>
      <c r="F125" s="139">
        <v>5095</v>
      </c>
      <c r="G125" s="134" t="s">
        <v>1905</v>
      </c>
      <c r="H125" s="134" t="s">
        <v>1746</v>
      </c>
      <c r="I125" s="134" t="s">
        <v>1906</v>
      </c>
      <c r="J125" s="134" t="s">
        <v>1907</v>
      </c>
      <c r="K125" s="107" t="s">
        <v>288</v>
      </c>
    </row>
    <row r="126" spans="2:11" x14ac:dyDescent="0.25">
      <c r="B126" s="131" t="s">
        <v>1619</v>
      </c>
      <c r="C126" s="134" t="s">
        <v>1620</v>
      </c>
      <c r="D126" s="135" t="s">
        <v>1629</v>
      </c>
      <c r="E126" s="134" t="s">
        <v>726</v>
      </c>
      <c r="F126" s="139">
        <v>5095</v>
      </c>
      <c r="G126" s="134" t="s">
        <v>1630</v>
      </c>
      <c r="H126" s="134" t="s">
        <v>1638</v>
      </c>
      <c r="I126" s="134" t="s">
        <v>1639</v>
      </c>
      <c r="J126" s="134" t="s">
        <v>1640</v>
      </c>
      <c r="K126" s="107" t="s">
        <v>300</v>
      </c>
    </row>
    <row r="127" spans="2:11" x14ac:dyDescent="0.25">
      <c r="B127" s="131" t="s">
        <v>2112</v>
      </c>
      <c r="C127" s="131" t="s">
        <v>2113</v>
      </c>
      <c r="D127" s="136" t="s">
        <v>2114</v>
      </c>
      <c r="E127" s="131" t="s">
        <v>726</v>
      </c>
      <c r="F127" s="138">
        <v>5070</v>
      </c>
      <c r="G127" s="131" t="s">
        <v>2115</v>
      </c>
      <c r="H127" s="131" t="s">
        <v>2116</v>
      </c>
      <c r="I127" s="131" t="s">
        <v>2117</v>
      </c>
      <c r="J127" s="131"/>
      <c r="K127" s="107" t="s">
        <v>304</v>
      </c>
    </row>
    <row r="128" spans="2:11" x14ac:dyDescent="0.25">
      <c r="B128" s="131" t="s">
        <v>1718</v>
      </c>
      <c r="C128" s="134" t="s">
        <v>1719</v>
      </c>
      <c r="D128" s="135" t="s">
        <v>1629</v>
      </c>
      <c r="E128" s="134" t="s">
        <v>726</v>
      </c>
      <c r="F128" s="139">
        <v>5095</v>
      </c>
      <c r="G128" s="134" t="s">
        <v>1720</v>
      </c>
      <c r="H128" s="134" t="s">
        <v>1721</v>
      </c>
      <c r="I128" s="134" t="s">
        <v>1722</v>
      </c>
      <c r="J128" s="134" t="s">
        <v>1723</v>
      </c>
      <c r="K128" s="107" t="s">
        <v>309</v>
      </c>
    </row>
    <row r="129" spans="2:11" x14ac:dyDescent="0.25">
      <c r="B129" s="131" t="s">
        <v>1908</v>
      </c>
      <c r="C129" s="134" t="s">
        <v>1909</v>
      </c>
      <c r="D129" s="135" t="s">
        <v>1910</v>
      </c>
      <c r="E129" s="134" t="s">
        <v>726</v>
      </c>
      <c r="F129" s="139">
        <v>5137</v>
      </c>
      <c r="G129" s="134" t="s">
        <v>1911</v>
      </c>
      <c r="H129" s="134" t="s">
        <v>1796</v>
      </c>
      <c r="I129" s="134" t="s">
        <v>1912</v>
      </c>
      <c r="J129" s="134" t="s">
        <v>1913</v>
      </c>
      <c r="K129" s="107" t="s">
        <v>328</v>
      </c>
    </row>
    <row r="130" spans="2:11" x14ac:dyDescent="0.25">
      <c r="B130" s="107" t="s">
        <v>353</v>
      </c>
      <c r="C130" s="107" t="s">
        <v>354</v>
      </c>
      <c r="D130" s="107"/>
      <c r="E130" s="107"/>
      <c r="F130" s="107"/>
      <c r="G130" s="107"/>
      <c r="H130" s="107"/>
      <c r="I130" s="107" t="s">
        <v>355</v>
      </c>
      <c r="J130" s="107" t="s">
        <v>356</v>
      </c>
      <c r="K130" s="107"/>
    </row>
    <row r="131" spans="2:11" x14ac:dyDescent="0.25">
      <c r="B131" s="107" t="s">
        <v>242</v>
      </c>
      <c r="C131" s="107" t="s">
        <v>243</v>
      </c>
      <c r="D131" s="107"/>
      <c r="E131" s="107"/>
      <c r="F131" s="107"/>
      <c r="G131" s="107"/>
      <c r="H131" s="107"/>
      <c r="I131" s="107" t="s">
        <v>244</v>
      </c>
      <c r="J131" s="107" t="s">
        <v>245</v>
      </c>
      <c r="K131" s="107" t="s">
        <v>337</v>
      </c>
    </row>
    <row r="132" spans="2:11" x14ac:dyDescent="0.25">
      <c r="B132" s="131" t="s">
        <v>1804</v>
      </c>
      <c r="C132" s="134" t="s">
        <v>1805</v>
      </c>
      <c r="D132" s="135" t="s">
        <v>1629</v>
      </c>
      <c r="E132" s="134" t="s">
        <v>726</v>
      </c>
      <c r="F132" s="139">
        <v>5095</v>
      </c>
      <c r="G132" s="134" t="s">
        <v>1806</v>
      </c>
      <c r="H132" s="134" t="s">
        <v>1807</v>
      </c>
      <c r="I132" s="134" t="s">
        <v>1808</v>
      </c>
      <c r="J132" s="134" t="s">
        <v>1809</v>
      </c>
      <c r="K132" s="107"/>
    </row>
    <row r="133" spans="2:11" x14ac:dyDescent="0.25">
      <c r="B133" s="131" t="s">
        <v>2107</v>
      </c>
      <c r="C133" s="131" t="s">
        <v>2108</v>
      </c>
      <c r="D133" s="136" t="s">
        <v>2109</v>
      </c>
      <c r="E133" s="131" t="s">
        <v>726</v>
      </c>
      <c r="F133" s="138">
        <v>5034</v>
      </c>
      <c r="G133" s="131" t="s">
        <v>2110</v>
      </c>
      <c r="H133" s="131" t="s">
        <v>1801</v>
      </c>
      <c r="I133" s="131" t="s">
        <v>2111</v>
      </c>
      <c r="J133" s="131"/>
      <c r="K133" s="107" t="s">
        <v>345</v>
      </c>
    </row>
    <row r="134" spans="2:11" x14ac:dyDescent="0.25">
      <c r="B134" s="131" t="s">
        <v>2422</v>
      </c>
      <c r="C134" s="134" t="s">
        <v>1879</v>
      </c>
      <c r="D134" s="135" t="s">
        <v>1629</v>
      </c>
      <c r="E134" s="134" t="s">
        <v>726</v>
      </c>
      <c r="F134" s="139">
        <v>5095</v>
      </c>
      <c r="G134" s="134" t="s">
        <v>1873</v>
      </c>
      <c r="H134" s="134" t="s">
        <v>1874</v>
      </c>
      <c r="I134" s="134" t="s">
        <v>1875</v>
      </c>
      <c r="J134" s="134" t="s">
        <v>1876</v>
      </c>
      <c r="K134" s="107" t="s">
        <v>350</v>
      </c>
    </row>
    <row r="135" spans="2:11" x14ac:dyDescent="0.25">
      <c r="B135" s="131" t="s">
        <v>1707</v>
      </c>
      <c r="C135" s="134" t="s">
        <v>1708</v>
      </c>
      <c r="D135" s="135" t="s">
        <v>1629</v>
      </c>
      <c r="E135" s="134" t="s">
        <v>726</v>
      </c>
      <c r="F135" s="139">
        <v>5095</v>
      </c>
      <c r="G135" s="134" t="s">
        <v>1709</v>
      </c>
      <c r="H135" s="134" t="s">
        <v>1693</v>
      </c>
      <c r="I135" s="134" t="s">
        <v>1710</v>
      </c>
      <c r="J135" s="134" t="s">
        <v>1711</v>
      </c>
      <c r="K135" s="107"/>
    </row>
    <row r="136" spans="2:11" x14ac:dyDescent="0.25">
      <c r="B136" s="131" t="s">
        <v>2123</v>
      </c>
      <c r="C136" s="131" t="s">
        <v>2124</v>
      </c>
      <c r="D136" s="136" t="s">
        <v>2125</v>
      </c>
      <c r="E136" s="131" t="s">
        <v>726</v>
      </c>
      <c r="F136" s="138">
        <v>5134</v>
      </c>
      <c r="G136" s="131" t="s">
        <v>2126</v>
      </c>
      <c r="H136" s="131" t="s">
        <v>2127</v>
      </c>
      <c r="I136" s="131" t="s">
        <v>2128</v>
      </c>
      <c r="J136" s="131" t="s">
        <v>2128</v>
      </c>
      <c r="K136" s="107" t="s">
        <v>357</v>
      </c>
    </row>
    <row r="137" spans="2:11" x14ac:dyDescent="0.25">
      <c r="B137" s="129" t="s">
        <v>2021</v>
      </c>
      <c r="C137" s="132" t="s">
        <v>2022</v>
      </c>
      <c r="D137" s="135" t="s">
        <v>2023</v>
      </c>
      <c r="E137" s="132" t="s">
        <v>726</v>
      </c>
      <c r="F137" s="137">
        <v>5067</v>
      </c>
      <c r="G137" s="134" t="s">
        <v>2024</v>
      </c>
      <c r="H137" s="134" t="s">
        <v>2025</v>
      </c>
      <c r="I137" s="134" t="s">
        <v>2026</v>
      </c>
      <c r="J137" s="134" t="s">
        <v>2027</v>
      </c>
      <c r="K137" s="107" t="s">
        <v>358</v>
      </c>
    </row>
    <row r="138" spans="2:11" x14ac:dyDescent="0.25">
      <c r="B138" s="107" t="s">
        <v>269</v>
      </c>
      <c r="C138" s="107" t="s">
        <v>270</v>
      </c>
      <c r="D138" s="107"/>
      <c r="E138" s="107"/>
      <c r="F138" s="107"/>
      <c r="G138" s="107"/>
      <c r="H138" s="107"/>
      <c r="I138" s="107" t="s">
        <v>271</v>
      </c>
      <c r="J138" s="107" t="s">
        <v>272</v>
      </c>
      <c r="K138" s="107" t="s">
        <v>361</v>
      </c>
    </row>
    <row r="139" spans="2:11" x14ac:dyDescent="0.25">
      <c r="B139" s="131" t="s">
        <v>1982</v>
      </c>
      <c r="C139" s="132" t="s">
        <v>1090</v>
      </c>
      <c r="D139" s="135" t="s">
        <v>1983</v>
      </c>
      <c r="E139" s="132" t="s">
        <v>1984</v>
      </c>
      <c r="F139" s="137">
        <v>3502</v>
      </c>
      <c r="G139" s="134" t="s">
        <v>1985</v>
      </c>
      <c r="H139" s="134" t="s">
        <v>1986</v>
      </c>
      <c r="I139" s="134" t="s">
        <v>1987</v>
      </c>
      <c r="J139" s="134" t="s">
        <v>1987</v>
      </c>
      <c r="K139" s="107" t="s">
        <v>364</v>
      </c>
    </row>
    <row r="140" spans="2:11" x14ac:dyDescent="0.25">
      <c r="B140" s="131" t="s">
        <v>1865</v>
      </c>
      <c r="C140" s="134" t="s">
        <v>1866</v>
      </c>
      <c r="D140" s="135" t="s">
        <v>1629</v>
      </c>
      <c r="E140" s="134" t="s">
        <v>726</v>
      </c>
      <c r="F140" s="139">
        <v>5095</v>
      </c>
      <c r="G140" s="134" t="s">
        <v>1867</v>
      </c>
      <c r="H140" s="134" t="s">
        <v>1868</v>
      </c>
      <c r="I140" s="134" t="s">
        <v>1869</v>
      </c>
      <c r="J140" s="134" t="s">
        <v>1870</v>
      </c>
      <c r="K140" s="107"/>
    </row>
    <row r="141" spans="2:11" x14ac:dyDescent="0.25">
      <c r="B141" s="107" t="s">
        <v>463</v>
      </c>
      <c r="C141" s="107" t="s">
        <v>464</v>
      </c>
      <c r="D141" s="107"/>
      <c r="E141" s="107"/>
      <c r="F141" s="107"/>
      <c r="G141" s="107"/>
      <c r="H141" s="107"/>
      <c r="I141" s="107" t="s">
        <v>465</v>
      </c>
      <c r="J141" s="107" t="s">
        <v>466</v>
      </c>
      <c r="K141" s="107" t="s">
        <v>367</v>
      </c>
    </row>
    <row r="142" spans="2:11" x14ac:dyDescent="0.25">
      <c r="B142" s="131" t="s">
        <v>2430</v>
      </c>
      <c r="C142" s="131" t="s">
        <v>2431</v>
      </c>
      <c r="D142" s="136" t="s">
        <v>1941</v>
      </c>
      <c r="E142" s="131" t="s">
        <v>726</v>
      </c>
      <c r="F142" s="140">
        <v>5094</v>
      </c>
      <c r="G142" s="131"/>
      <c r="H142" s="131"/>
      <c r="I142" s="131" t="s">
        <v>2432</v>
      </c>
      <c r="J142" s="131" t="s">
        <v>2433</v>
      </c>
      <c r="K142" s="107"/>
    </row>
    <row r="143" spans="2:11" x14ac:dyDescent="0.25">
      <c r="B143" s="131" t="s">
        <v>1886</v>
      </c>
      <c r="C143" s="134" t="s">
        <v>1887</v>
      </c>
      <c r="D143" s="135" t="s">
        <v>1629</v>
      </c>
      <c r="E143" s="134" t="s">
        <v>726</v>
      </c>
      <c r="F143" s="139">
        <v>5095</v>
      </c>
      <c r="G143" s="134" t="s">
        <v>1888</v>
      </c>
      <c r="H143" s="134" t="s">
        <v>1889</v>
      </c>
      <c r="I143" s="134" t="s">
        <v>1890</v>
      </c>
      <c r="J143" s="134" t="s">
        <v>1891</v>
      </c>
      <c r="K143" s="107" t="s">
        <v>372</v>
      </c>
    </row>
    <row r="144" spans="2:11" x14ac:dyDescent="0.25">
      <c r="B144" s="131" t="s">
        <v>1914</v>
      </c>
      <c r="C144" s="134" t="s">
        <v>1915</v>
      </c>
      <c r="D144" s="135" t="s">
        <v>1629</v>
      </c>
      <c r="E144" s="134" t="s">
        <v>726</v>
      </c>
      <c r="F144" s="139">
        <v>5095</v>
      </c>
      <c r="G144" s="134" t="s">
        <v>1916</v>
      </c>
      <c r="H144" s="134" t="s">
        <v>1917</v>
      </c>
      <c r="I144" s="134" t="s">
        <v>1918</v>
      </c>
      <c r="J144" s="134" t="s">
        <v>1919</v>
      </c>
      <c r="K144" s="107" t="s">
        <v>379</v>
      </c>
    </row>
    <row r="145" spans="2:11" x14ac:dyDescent="0.25">
      <c r="B145" s="107" t="s">
        <v>179</v>
      </c>
      <c r="C145" s="107" t="s">
        <v>182</v>
      </c>
      <c r="D145" s="107"/>
      <c r="E145" s="107"/>
      <c r="F145" s="107"/>
      <c r="G145" s="107"/>
      <c r="H145" s="107"/>
      <c r="I145" s="107" t="s">
        <v>183</v>
      </c>
      <c r="J145" s="107" t="s">
        <v>184</v>
      </c>
      <c r="K145" s="107" t="s">
        <v>380</v>
      </c>
    </row>
    <row r="146" spans="2:11" x14ac:dyDescent="0.25">
      <c r="B146" s="131" t="s">
        <v>1892</v>
      </c>
      <c r="C146" s="134" t="s">
        <v>1893</v>
      </c>
      <c r="D146" s="135" t="s">
        <v>1629</v>
      </c>
      <c r="E146" s="134" t="s">
        <v>726</v>
      </c>
      <c r="F146" s="139">
        <v>5095</v>
      </c>
      <c r="G146" s="134" t="s">
        <v>1894</v>
      </c>
      <c r="H146" s="134" t="s">
        <v>1746</v>
      </c>
      <c r="I146" s="134" t="s">
        <v>1895</v>
      </c>
      <c r="J146" s="134" t="s">
        <v>1896</v>
      </c>
      <c r="K146" s="107" t="s">
        <v>413</v>
      </c>
    </row>
    <row r="147" spans="2:11" x14ac:dyDescent="0.25">
      <c r="B147" s="131" t="s">
        <v>1946</v>
      </c>
      <c r="C147" s="132" t="s">
        <v>1947</v>
      </c>
      <c r="D147" s="135" t="s">
        <v>1658</v>
      </c>
      <c r="E147" s="132" t="s">
        <v>726</v>
      </c>
      <c r="F147" s="137">
        <v>5120</v>
      </c>
      <c r="G147" s="134" t="s">
        <v>1659</v>
      </c>
      <c r="H147" s="134" t="s">
        <v>1660</v>
      </c>
      <c r="I147" s="134"/>
      <c r="J147" s="134"/>
      <c r="K147" s="107" t="s">
        <v>420</v>
      </c>
    </row>
    <row r="148" spans="2:11" x14ac:dyDescent="0.25">
      <c r="B148" s="131" t="s">
        <v>1735</v>
      </c>
      <c r="C148" s="134" t="s">
        <v>1736</v>
      </c>
      <c r="D148" s="135" t="s">
        <v>1629</v>
      </c>
      <c r="E148" s="134" t="s">
        <v>726</v>
      </c>
      <c r="F148" s="139">
        <v>5095</v>
      </c>
      <c r="G148" s="134" t="s">
        <v>1737</v>
      </c>
      <c r="H148" s="134" t="s">
        <v>1738</v>
      </c>
      <c r="I148" s="134" t="s">
        <v>1739</v>
      </c>
      <c r="J148" s="134" t="s">
        <v>1740</v>
      </c>
      <c r="K148" s="107"/>
    </row>
    <row r="149" spans="2:11" x14ac:dyDescent="0.25">
      <c r="B149" s="131" t="s">
        <v>1772</v>
      </c>
      <c r="C149" s="134" t="s">
        <v>1773</v>
      </c>
      <c r="D149" s="135" t="s">
        <v>1629</v>
      </c>
      <c r="E149" s="134" t="s">
        <v>726</v>
      </c>
      <c r="F149" s="139">
        <v>5095</v>
      </c>
      <c r="G149" s="134" t="s">
        <v>1774</v>
      </c>
      <c r="H149" s="134" t="s">
        <v>1775</v>
      </c>
      <c r="I149" s="134" t="s">
        <v>1776</v>
      </c>
      <c r="J149" s="134" t="s">
        <v>1777</v>
      </c>
    </row>
    <row r="150" spans="2:11" x14ac:dyDescent="0.25">
      <c r="B150" s="131" t="s">
        <v>2059</v>
      </c>
      <c r="C150" s="131" t="s">
        <v>2060</v>
      </c>
      <c r="D150" s="136" t="s">
        <v>2061</v>
      </c>
      <c r="E150" s="131" t="s">
        <v>726</v>
      </c>
      <c r="F150" s="138">
        <v>5074</v>
      </c>
      <c r="G150" s="131" t="s">
        <v>2063</v>
      </c>
      <c r="H150" s="131" t="s">
        <v>2064</v>
      </c>
      <c r="I150" s="131" t="s">
        <v>2065</v>
      </c>
      <c r="J150" s="131" t="s">
        <v>2066</v>
      </c>
      <c r="K150" s="107" t="s">
        <v>424</v>
      </c>
    </row>
    <row r="151" spans="2:11" x14ac:dyDescent="0.25">
      <c r="B151" s="107" t="s">
        <v>160</v>
      </c>
      <c r="C151" s="107" t="s">
        <v>161</v>
      </c>
      <c r="D151" s="107"/>
      <c r="E151" s="107"/>
      <c r="F151" s="107"/>
      <c r="G151" s="107"/>
      <c r="H151" s="107"/>
      <c r="I151" s="107" t="s">
        <v>162</v>
      </c>
      <c r="J151" s="107" t="s">
        <v>163</v>
      </c>
      <c r="K151" s="107" t="s">
        <v>433</v>
      </c>
    </row>
    <row r="152" spans="2:11" x14ac:dyDescent="0.25">
      <c r="B152" s="131" t="s">
        <v>1820</v>
      </c>
      <c r="C152" s="134" t="s">
        <v>1821</v>
      </c>
      <c r="D152" s="135" t="s">
        <v>1629</v>
      </c>
      <c r="E152" s="134" t="s">
        <v>726</v>
      </c>
      <c r="F152" s="139">
        <v>5095</v>
      </c>
      <c r="G152" s="134" t="s">
        <v>1822</v>
      </c>
      <c r="H152" s="134" t="s">
        <v>1823</v>
      </c>
      <c r="I152" s="134" t="s">
        <v>1824</v>
      </c>
      <c r="J152" s="134" t="s">
        <v>1825</v>
      </c>
      <c r="K152" s="107" t="s">
        <v>435</v>
      </c>
    </row>
    <row r="153" spans="2:11" x14ac:dyDescent="0.25">
      <c r="B153" s="131" t="s">
        <v>2146</v>
      </c>
      <c r="C153" s="131" t="s">
        <v>2147</v>
      </c>
      <c r="D153" s="136" t="s">
        <v>2081</v>
      </c>
      <c r="E153" s="131" t="s">
        <v>726</v>
      </c>
      <c r="F153" s="138">
        <v>5120</v>
      </c>
      <c r="G153" s="131" t="s">
        <v>2148</v>
      </c>
      <c r="H153" s="131" t="s">
        <v>1796</v>
      </c>
      <c r="I153" s="131" t="s">
        <v>2149</v>
      </c>
      <c r="J153" s="131"/>
      <c r="K153" s="107" t="s">
        <v>439</v>
      </c>
    </row>
    <row r="154" spans="2:11" x14ac:dyDescent="0.25">
      <c r="B154" s="107" t="s">
        <v>121</v>
      </c>
      <c r="C154" s="107" t="s">
        <v>122</v>
      </c>
      <c r="D154" s="107"/>
      <c r="E154" s="107"/>
      <c r="F154" s="107"/>
      <c r="G154" s="107"/>
      <c r="H154" s="107"/>
      <c r="I154" s="107" t="s">
        <v>123</v>
      </c>
      <c r="J154" s="107" t="s">
        <v>123</v>
      </c>
      <c r="K154" s="107" t="s">
        <v>439</v>
      </c>
    </row>
    <row r="155" spans="2:11" x14ac:dyDescent="0.25">
      <c r="B155" s="131" t="s">
        <v>2246</v>
      </c>
      <c r="C155" s="131" t="s">
        <v>2247</v>
      </c>
      <c r="D155" s="136" t="s">
        <v>2081</v>
      </c>
      <c r="E155" s="131" t="s">
        <v>726</v>
      </c>
      <c r="F155" s="138">
        <v>5120</v>
      </c>
      <c r="G155" s="131" t="s">
        <v>2248</v>
      </c>
      <c r="H155" s="131" t="s">
        <v>1856</v>
      </c>
      <c r="I155" s="131" t="s">
        <v>2249</v>
      </c>
      <c r="J155" s="131"/>
      <c r="K155" s="107" t="s">
        <v>444</v>
      </c>
    </row>
    <row r="156" spans="2:11" x14ac:dyDescent="0.25">
      <c r="B156" s="131" t="s">
        <v>2209</v>
      </c>
      <c r="C156" s="131" t="s">
        <v>2217</v>
      </c>
      <c r="D156" s="136" t="s">
        <v>2081</v>
      </c>
      <c r="E156" s="131" t="s">
        <v>726</v>
      </c>
      <c r="F156" s="138">
        <v>5120</v>
      </c>
      <c r="G156" s="131" t="s">
        <v>2218</v>
      </c>
      <c r="H156" s="131"/>
      <c r="I156" s="131" t="s">
        <v>2219</v>
      </c>
      <c r="J156" s="131"/>
      <c r="K156" s="107" t="s">
        <v>445</v>
      </c>
    </row>
    <row r="157" spans="2:11" x14ac:dyDescent="0.25">
      <c r="B157" s="107" t="s">
        <v>150</v>
      </c>
      <c r="C157" s="107" t="s">
        <v>151</v>
      </c>
      <c r="D157" s="107"/>
      <c r="E157" s="107"/>
      <c r="F157" s="107"/>
      <c r="G157" s="107"/>
      <c r="H157" s="107"/>
      <c r="I157" s="107" t="s">
        <v>152</v>
      </c>
      <c r="J157" s="107" t="s">
        <v>153</v>
      </c>
      <c r="K157" s="107" t="s">
        <v>446</v>
      </c>
    </row>
    <row r="158" spans="2:11" x14ac:dyDescent="0.25">
      <c r="B158" s="131" t="s">
        <v>2097</v>
      </c>
      <c r="C158" s="131" t="s">
        <v>2098</v>
      </c>
      <c r="D158" s="136" t="s">
        <v>2075</v>
      </c>
      <c r="E158" s="131" t="s">
        <v>726</v>
      </c>
      <c r="F158" s="138">
        <v>5110</v>
      </c>
      <c r="G158" s="131" t="s">
        <v>2099</v>
      </c>
      <c r="H158" s="131" t="s">
        <v>2100</v>
      </c>
      <c r="I158" s="131" t="s">
        <v>2101</v>
      </c>
      <c r="J158" s="131" t="s">
        <v>2102</v>
      </c>
      <c r="K158" s="107"/>
    </row>
    <row r="159" spans="2:11" x14ac:dyDescent="0.25">
      <c r="B159" s="107" t="s">
        <v>138</v>
      </c>
      <c r="C159" s="107" t="s">
        <v>139</v>
      </c>
      <c r="D159" s="107"/>
      <c r="E159" s="107"/>
      <c r="F159" s="107"/>
      <c r="G159" s="107"/>
      <c r="H159" s="107"/>
      <c r="I159" s="107" t="s">
        <v>2101</v>
      </c>
      <c r="J159" s="107" t="s">
        <v>2102</v>
      </c>
      <c r="K159" s="107" t="s">
        <v>450</v>
      </c>
    </row>
    <row r="160" spans="2:11" x14ac:dyDescent="0.25">
      <c r="B160" s="131" t="s">
        <v>1920</v>
      </c>
      <c r="C160" s="134" t="s">
        <v>1921</v>
      </c>
      <c r="D160" s="135" t="s">
        <v>1629</v>
      </c>
      <c r="E160" s="134" t="s">
        <v>726</v>
      </c>
      <c r="F160" s="139">
        <v>5095</v>
      </c>
      <c r="G160" s="134" t="s">
        <v>1922</v>
      </c>
      <c r="H160" s="134" t="s">
        <v>1746</v>
      </c>
      <c r="I160" s="134" t="s">
        <v>1923</v>
      </c>
      <c r="J160" s="134" t="s">
        <v>1924</v>
      </c>
      <c r="K160" s="107"/>
    </row>
    <row r="161" spans="2:11" x14ac:dyDescent="0.25">
      <c r="B161" s="107" t="s">
        <v>370</v>
      </c>
      <c r="C161" s="107" t="s">
        <v>371</v>
      </c>
      <c r="D161" s="107"/>
      <c r="E161" s="107"/>
      <c r="F161" s="107"/>
      <c r="G161" s="107"/>
      <c r="H161" s="107"/>
      <c r="I161" s="107" t="s">
        <v>1869</v>
      </c>
      <c r="J161" s="107" t="s">
        <v>1870</v>
      </c>
      <c r="K161" s="107" t="s">
        <v>454</v>
      </c>
    </row>
    <row r="162" spans="2:11" x14ac:dyDescent="0.25">
      <c r="B162" s="131" t="s">
        <v>2073</v>
      </c>
      <c r="C162" s="131" t="s">
        <v>2074</v>
      </c>
      <c r="D162" s="136" t="s">
        <v>2075</v>
      </c>
      <c r="E162" s="131" t="s">
        <v>726</v>
      </c>
      <c r="F162" s="138">
        <v>5110</v>
      </c>
      <c r="G162" s="131" t="s">
        <v>2076</v>
      </c>
      <c r="H162" s="131" t="s">
        <v>2077</v>
      </c>
      <c r="I162" s="131" t="s">
        <v>2078</v>
      </c>
      <c r="J162" s="131"/>
      <c r="K162" s="107" t="s">
        <v>459</v>
      </c>
    </row>
    <row r="163" spans="2:11" x14ac:dyDescent="0.25">
      <c r="B163" s="131" t="s">
        <v>2232</v>
      </c>
      <c r="C163" s="131" t="s">
        <v>2233</v>
      </c>
      <c r="D163" s="136" t="s">
        <v>2234</v>
      </c>
      <c r="E163" s="131" t="s">
        <v>726</v>
      </c>
      <c r="F163" s="138">
        <v>5330</v>
      </c>
      <c r="G163" s="131" t="s">
        <v>2235</v>
      </c>
      <c r="H163" s="131" t="s">
        <v>2236</v>
      </c>
      <c r="I163" s="131" t="s">
        <v>2237</v>
      </c>
      <c r="J163" s="131"/>
      <c r="K163" s="107" t="s">
        <v>460</v>
      </c>
    </row>
    <row r="164" spans="2:11" x14ac:dyDescent="0.25">
      <c r="B164" s="131" t="s">
        <v>2178</v>
      </c>
      <c r="C164" s="131" t="s">
        <v>2179</v>
      </c>
      <c r="D164" s="136" t="s">
        <v>2081</v>
      </c>
      <c r="E164" s="131" t="s">
        <v>726</v>
      </c>
      <c r="F164" s="138">
        <v>5120</v>
      </c>
      <c r="G164" s="131" t="s">
        <v>2194</v>
      </c>
      <c r="H164" s="131"/>
      <c r="I164" s="131" t="s">
        <v>2195</v>
      </c>
      <c r="J164" s="131"/>
      <c r="K164" s="107" t="s">
        <v>461</v>
      </c>
    </row>
    <row r="165" spans="2:11" x14ac:dyDescent="0.25">
      <c r="B165" s="107" t="s">
        <v>117</v>
      </c>
      <c r="C165" s="107" t="s">
        <v>118</v>
      </c>
      <c r="D165" s="107"/>
      <c r="E165" s="107"/>
      <c r="F165" s="107"/>
      <c r="G165" s="107"/>
      <c r="H165" s="107"/>
      <c r="I165" s="107" t="s">
        <v>119</v>
      </c>
      <c r="J165" s="107" t="s">
        <v>120</v>
      </c>
      <c r="K165" s="107"/>
    </row>
    <row r="166" spans="2:11" x14ac:dyDescent="0.25">
      <c r="B166" s="107" t="s">
        <v>191</v>
      </c>
      <c r="C166" s="107" t="s">
        <v>192</v>
      </c>
      <c r="D166" s="107"/>
      <c r="E166" s="107"/>
      <c r="F166" s="107"/>
      <c r="G166" s="107"/>
      <c r="H166" s="107"/>
      <c r="I166" s="107" t="s">
        <v>193</v>
      </c>
      <c r="J166" s="107" t="s">
        <v>194</v>
      </c>
      <c r="K166" s="107" t="s">
        <v>462</v>
      </c>
    </row>
    <row r="167" spans="2:11" x14ac:dyDescent="0.25">
      <c r="B167" s="131" t="s">
        <v>1729</v>
      </c>
      <c r="C167" s="134" t="s">
        <v>1730</v>
      </c>
      <c r="D167" s="135" t="s">
        <v>1629</v>
      </c>
      <c r="E167" s="134" t="s">
        <v>726</v>
      </c>
      <c r="F167" s="139">
        <v>5095</v>
      </c>
      <c r="G167" s="134" t="s">
        <v>1731</v>
      </c>
      <c r="H167" s="134" t="s">
        <v>1732</v>
      </c>
      <c r="I167" s="134" t="s">
        <v>1733</v>
      </c>
      <c r="J167" s="134" t="s">
        <v>1734</v>
      </c>
      <c r="K167" s="107" t="s">
        <v>467</v>
      </c>
    </row>
    <row r="168" spans="2:11" x14ac:dyDescent="0.25">
      <c r="B168" s="107" t="s">
        <v>473</v>
      </c>
      <c r="C168" s="107" t="s">
        <v>474</v>
      </c>
      <c r="D168" s="107"/>
      <c r="E168" s="107"/>
      <c r="F168" s="107"/>
      <c r="G168" s="107"/>
      <c r="H168" s="107"/>
      <c r="I168" s="107" t="s">
        <v>475</v>
      </c>
      <c r="J168" s="107" t="s">
        <v>476</v>
      </c>
      <c r="K168" s="107" t="s">
        <v>472</v>
      </c>
    </row>
    <row r="169" spans="2:11" x14ac:dyDescent="0.25">
      <c r="B169" s="107" t="s">
        <v>284</v>
      </c>
      <c r="C169" s="107" t="s">
        <v>285</v>
      </c>
      <c r="D169" s="107"/>
      <c r="E169" s="107"/>
      <c r="F169" s="107"/>
      <c r="G169" s="107"/>
      <c r="H169" s="107"/>
      <c r="I169" s="107" t="s">
        <v>286</v>
      </c>
      <c r="J169" s="107" t="s">
        <v>287</v>
      </c>
      <c r="K169" s="107" t="s">
        <v>477</v>
      </c>
    </row>
    <row r="170" spans="2:11" x14ac:dyDescent="0.25">
      <c r="B170" s="107" t="s">
        <v>219</v>
      </c>
      <c r="C170" s="107" t="s">
        <v>220</v>
      </c>
      <c r="D170" s="107"/>
      <c r="E170" s="107"/>
      <c r="F170" s="107"/>
      <c r="G170" s="107"/>
      <c r="H170" s="107"/>
      <c r="I170" s="107" t="s">
        <v>221</v>
      </c>
      <c r="J170" s="107" t="s">
        <v>222</v>
      </c>
      <c r="K170" s="107" t="s">
        <v>491</v>
      </c>
    </row>
    <row r="171" spans="2:11" x14ac:dyDescent="0.25">
      <c r="B171" s="107" t="s">
        <v>170</v>
      </c>
      <c r="C171" s="107" t="s">
        <v>171</v>
      </c>
      <c r="D171" s="107"/>
      <c r="E171" s="107"/>
      <c r="F171" s="107"/>
      <c r="G171" s="107"/>
      <c r="H171" s="107"/>
      <c r="I171" s="107" t="s">
        <v>172</v>
      </c>
      <c r="J171" s="107" t="s">
        <v>173</v>
      </c>
      <c r="K171" s="107" t="s">
        <v>496</v>
      </c>
    </row>
    <row r="172" spans="2:11" x14ac:dyDescent="0.25">
      <c r="B172" s="107" t="s">
        <v>141</v>
      </c>
      <c r="C172" s="107" t="s">
        <v>142</v>
      </c>
      <c r="D172" s="107"/>
      <c r="E172" s="107"/>
      <c r="F172" s="107"/>
      <c r="G172" s="107"/>
      <c r="H172" s="107"/>
      <c r="I172" s="107" t="s">
        <v>143</v>
      </c>
      <c r="J172" s="107" t="s">
        <v>144</v>
      </c>
      <c r="K172" s="107" t="s">
        <v>521</v>
      </c>
    </row>
    <row r="173" spans="2:11" x14ac:dyDescent="0.25">
      <c r="B173" s="107" t="s">
        <v>324</v>
      </c>
      <c r="C173" s="107" t="s">
        <v>325</v>
      </c>
      <c r="D173" s="107"/>
      <c r="E173" s="107"/>
      <c r="F173" s="107"/>
      <c r="G173" s="107"/>
      <c r="H173" s="107"/>
      <c r="I173" s="107" t="s">
        <v>326</v>
      </c>
      <c r="J173" s="107" t="s">
        <v>327</v>
      </c>
      <c r="K173" s="107" t="s">
        <v>522</v>
      </c>
    </row>
    <row r="174" spans="2:11" x14ac:dyDescent="0.25">
      <c r="B174" s="107" t="s">
        <v>440</v>
      </c>
      <c r="C174" s="107" t="s">
        <v>441</v>
      </c>
      <c r="D174" s="107"/>
      <c r="E174" s="107"/>
      <c r="F174" s="107"/>
      <c r="G174" s="107"/>
      <c r="H174" s="107"/>
      <c r="I174" s="107" t="s">
        <v>442</v>
      </c>
      <c r="J174" s="107" t="s">
        <v>443</v>
      </c>
      <c r="K174" s="107" t="s">
        <v>527</v>
      </c>
    </row>
  </sheetData>
  <phoneticPr fontId="2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mdDirectionOrders">
          <controlPr defaultSize="0" autoLine="0" r:id="rId5">
            <anchor moveWithCells="1">
              <from>
                <xdr:col>0</xdr:col>
                <xdr:colOff>601980</xdr:colOff>
                <xdr:row>1</xdr:row>
                <xdr:rowOff>0</xdr:rowOff>
              </from>
              <to>
                <xdr:col>1</xdr:col>
                <xdr:colOff>1440180</xdr:colOff>
                <xdr:row>2</xdr:row>
                <xdr:rowOff>106680</xdr:rowOff>
              </to>
            </anchor>
          </controlPr>
        </control>
      </mc:Choice>
      <mc:Fallback>
        <control shapeId="5121" r:id="rId4" name="cmdDirectionOrders"/>
      </mc:Fallback>
    </mc:AlternateContent>
  </controls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F142"/>
  <sheetViews>
    <sheetView showGridLines="0" showRowColHeaders="0" workbookViewId="0">
      <selection activeCell="B9" sqref="B9:F142"/>
    </sheetView>
  </sheetViews>
  <sheetFormatPr defaultRowHeight="13.2" x14ac:dyDescent="0.25"/>
  <cols>
    <col min="2" max="3" width="35.109375" customWidth="1"/>
    <col min="4" max="4" width="14.44140625" customWidth="1"/>
    <col min="5" max="5" width="11" customWidth="1"/>
    <col min="6" max="6" width="61.5546875" customWidth="1"/>
  </cols>
  <sheetData>
    <row r="1" spans="2:6" s="86" customFormat="1" x14ac:dyDescent="0.25"/>
    <row r="2" spans="2:6" s="86" customFormat="1" x14ac:dyDescent="0.25"/>
    <row r="3" spans="2:6" s="86" customFormat="1" x14ac:dyDescent="0.25"/>
    <row r="4" spans="2:6" s="86" customFormat="1" x14ac:dyDescent="0.25"/>
    <row r="5" spans="2:6" s="87" customFormat="1" ht="13.8" thickBot="1" x14ac:dyDescent="0.3"/>
    <row r="6" spans="2:6" ht="13.8" thickTop="1" x14ac:dyDescent="0.25"/>
    <row r="8" spans="2:6" x14ac:dyDescent="0.25">
      <c r="B8" t="s">
        <v>2479</v>
      </c>
      <c r="C8" t="s">
        <v>2480</v>
      </c>
      <c r="D8" s="88" t="s">
        <v>2481</v>
      </c>
      <c r="E8" t="s">
        <v>2482</v>
      </c>
      <c r="F8" t="s">
        <v>56</v>
      </c>
    </row>
    <row r="9" spans="2:6" x14ac:dyDescent="0.25">
      <c r="B9" t="s">
        <v>2483</v>
      </c>
      <c r="C9" t="s">
        <v>2484</v>
      </c>
      <c r="D9" t="s">
        <v>2485</v>
      </c>
      <c r="E9" t="s">
        <v>2486</v>
      </c>
      <c r="F9" s="89" t="str">
        <f t="shared" ref="F9:F40" si="0">B9 &amp; ", " &amp; C9 &amp; ", " &amp; D9</f>
        <v>A and N Fontanini, RMB 313 Seven Day Rd, Manjimup</v>
      </c>
    </row>
    <row r="10" spans="2:6" x14ac:dyDescent="0.25">
      <c r="B10" t="s">
        <v>2487</v>
      </c>
      <c r="C10" t="s">
        <v>2488</v>
      </c>
      <c r="D10" t="s">
        <v>2489</v>
      </c>
      <c r="E10" t="s">
        <v>2490</v>
      </c>
      <c r="F10" s="89" t="str">
        <f t="shared" si="0"/>
        <v>A Giumelli and Sons Pty Ltd, 680 Canning Rd, Carmel</v>
      </c>
    </row>
    <row r="11" spans="2:6" x14ac:dyDescent="0.25">
      <c r="B11" t="s">
        <v>2491</v>
      </c>
      <c r="C11" t="s">
        <v>2492</v>
      </c>
      <c r="D11" t="s">
        <v>2493</v>
      </c>
      <c r="E11" t="s">
        <v>2494</v>
      </c>
      <c r="F11" s="89" t="str">
        <f t="shared" si="0"/>
        <v>AD, RA &amp; JA Mathews, Channybearup Rd, Pemberton</v>
      </c>
    </row>
    <row r="12" spans="2:6" x14ac:dyDescent="0.25">
      <c r="B12" t="s">
        <v>2495</v>
      </c>
      <c r="C12" t="s">
        <v>2496</v>
      </c>
      <c r="D12" t="s">
        <v>2485</v>
      </c>
      <c r="E12" t="s">
        <v>2497</v>
      </c>
      <c r="F12" s="89" t="str">
        <f t="shared" si="0"/>
        <v>Advance Packing &amp; Marketing, Ralston Road, Manjimup</v>
      </c>
    </row>
    <row r="13" spans="2:6" x14ac:dyDescent="0.25">
      <c r="B13" t="s">
        <v>2498</v>
      </c>
      <c r="C13" t="s">
        <v>2499</v>
      </c>
      <c r="D13" t="s">
        <v>2500</v>
      </c>
      <c r="E13" t="s">
        <v>2501</v>
      </c>
      <c r="F13" s="89" t="str">
        <f t="shared" si="0"/>
        <v>AH BA Taylor, 144 Pead Road, Myalup</v>
      </c>
    </row>
    <row r="14" spans="2:6" x14ac:dyDescent="0.25">
      <c r="B14" t="s">
        <v>2502</v>
      </c>
      <c r="C14" t="s">
        <v>2503</v>
      </c>
      <c r="D14" t="s">
        <v>2485</v>
      </c>
      <c r="E14" t="s">
        <v>2504</v>
      </c>
      <c r="F14" s="89" t="str">
        <f t="shared" si="0"/>
        <v>Alban Coolstores, RMB 324 Seven Day Rd, Manjimup</v>
      </c>
    </row>
    <row r="15" spans="2:6" x14ac:dyDescent="0.25">
      <c r="B15" t="s">
        <v>2505</v>
      </c>
      <c r="C15" t="s">
        <v>2506</v>
      </c>
      <c r="D15" t="s">
        <v>2485</v>
      </c>
      <c r="E15" t="s">
        <v>2507</v>
      </c>
      <c r="F15" s="89" t="str">
        <f t="shared" si="0"/>
        <v>Applewood Orchard, Lot 99 Ipsen St, Manjimup</v>
      </c>
    </row>
    <row r="16" spans="2:6" x14ac:dyDescent="0.25">
      <c r="B16" t="s">
        <v>2508</v>
      </c>
      <c r="C16" t="s">
        <v>2509</v>
      </c>
      <c r="D16" t="s">
        <v>2510</v>
      </c>
      <c r="E16" t="s">
        <v>2517</v>
      </c>
      <c r="F16" s="89" t="str">
        <f t="shared" si="0"/>
        <v>Avoland Pty Ltd, 546 Ewart Rd, Cundinup</v>
      </c>
    </row>
    <row r="17" spans="2:6" x14ac:dyDescent="0.25">
      <c r="B17" t="s">
        <v>2518</v>
      </c>
      <c r="C17" t="s">
        <v>2519</v>
      </c>
      <c r="D17" t="s">
        <v>2493</v>
      </c>
      <c r="E17" t="s">
        <v>2520</v>
      </c>
      <c r="F17" s="89" t="str">
        <f t="shared" si="0"/>
        <v>Avonova, 8178 Old Vasse Rd, Pemberton</v>
      </c>
    </row>
    <row r="18" spans="2:6" x14ac:dyDescent="0.25">
      <c r="B18" t="s">
        <v>2521</v>
      </c>
      <c r="C18" t="s">
        <v>2522</v>
      </c>
      <c r="D18" t="s">
        <v>2523</v>
      </c>
      <c r="E18" t="s">
        <v>2524</v>
      </c>
      <c r="F18" s="89" t="str">
        <f t="shared" si="0"/>
        <v>Avowest, 85 Carabooda Rd, Carabooda</v>
      </c>
    </row>
    <row r="19" spans="2:6" x14ac:dyDescent="0.25">
      <c r="B19" t="s">
        <v>2525</v>
      </c>
      <c r="C19" t="s">
        <v>2526</v>
      </c>
      <c r="D19" t="s">
        <v>2523</v>
      </c>
      <c r="E19" t="s">
        <v>2527</v>
      </c>
      <c r="F19" s="89" t="str">
        <f t="shared" si="0"/>
        <v>Avwan, 211 Carabooda Rd, Carabooda</v>
      </c>
    </row>
    <row r="20" spans="2:6" x14ac:dyDescent="0.25">
      <c r="B20" t="s">
        <v>2528</v>
      </c>
      <c r="C20" t="s">
        <v>2529</v>
      </c>
      <c r="D20" t="s">
        <v>2530</v>
      </c>
      <c r="E20" t="s">
        <v>2531</v>
      </c>
      <c r="F20" s="89" t="str">
        <f t="shared" si="0"/>
        <v>B Martella and Sons, Santa Rita, 439 Kirup / Grimwade Rd, Kirup</v>
      </c>
    </row>
    <row r="21" spans="2:6" x14ac:dyDescent="0.25">
      <c r="B21" t="s">
        <v>2532</v>
      </c>
      <c r="C21" t="s">
        <v>2533</v>
      </c>
      <c r="D21" t="s">
        <v>2523</v>
      </c>
      <c r="E21" t="s">
        <v>2534</v>
      </c>
      <c r="F21" s="89" t="str">
        <f t="shared" si="0"/>
        <v>Benara Carabooda, Lot 1000 Safari Place, Carabooda</v>
      </c>
    </row>
    <row r="22" spans="2:6" x14ac:dyDescent="0.25">
      <c r="B22" t="s">
        <v>2541</v>
      </c>
      <c r="C22" t="s">
        <v>2542</v>
      </c>
      <c r="D22" t="s">
        <v>2543</v>
      </c>
      <c r="E22" t="s">
        <v>2544</v>
      </c>
      <c r="F22" s="89" t="str">
        <f t="shared" si="0"/>
        <v>Berry Sweet Strawberry Farm, Lot 90 Davidson St, Bullsbrook</v>
      </c>
    </row>
    <row r="23" spans="2:6" x14ac:dyDescent="0.25">
      <c r="B23" t="s">
        <v>2545</v>
      </c>
      <c r="C23" t="s">
        <v>2546</v>
      </c>
      <c r="D23" t="s">
        <v>2547</v>
      </c>
      <c r="E23" t="s">
        <v>2548</v>
      </c>
      <c r="F23" s="89" t="str">
        <f t="shared" si="0"/>
        <v>Bogdanich Farms, Lot 402 Gingin Brook Road, Neergabby</v>
      </c>
    </row>
    <row r="24" spans="2:6" x14ac:dyDescent="0.25">
      <c r="B24" t="s">
        <v>2549</v>
      </c>
      <c r="C24" t="s">
        <v>2550</v>
      </c>
      <c r="D24" t="s">
        <v>2551</v>
      </c>
      <c r="E24" t="s">
        <v>2552</v>
      </c>
      <c r="F24" s="89" t="str">
        <f t="shared" si="0"/>
        <v>Brookvale Nominees Pty Ltd, 308 Payne Road, Busselton</v>
      </c>
    </row>
    <row r="25" spans="2:6" x14ac:dyDescent="0.25">
      <c r="B25" t="s">
        <v>2553</v>
      </c>
      <c r="C25" t="s">
        <v>2554</v>
      </c>
      <c r="D25" t="s">
        <v>2555</v>
      </c>
      <c r="E25" t="s">
        <v>2556</v>
      </c>
      <c r="F25" s="89" t="str">
        <f t="shared" si="0"/>
        <v>C Borg and Son, 102 Lyster Rd, Jarrahdale</v>
      </c>
    </row>
    <row r="26" spans="2:6" x14ac:dyDescent="0.25">
      <c r="B26" t="s">
        <v>2557</v>
      </c>
      <c r="C26" t="s">
        <v>2560</v>
      </c>
      <c r="D26" t="s">
        <v>2493</v>
      </c>
      <c r="E26" t="s">
        <v>2561</v>
      </c>
      <c r="F26" s="89" t="str">
        <f t="shared" si="0"/>
        <v>C.P &amp; J.R Jones, Lot 11055 Channybearup Road, Pemberton</v>
      </c>
    </row>
    <row r="27" spans="2:6" x14ac:dyDescent="0.25">
      <c r="B27" t="s">
        <v>2562</v>
      </c>
      <c r="C27" t="s">
        <v>2563</v>
      </c>
      <c r="D27" t="s">
        <v>2564</v>
      </c>
      <c r="E27" t="s">
        <v>2565</v>
      </c>
      <c r="F27" s="89" t="str">
        <f t="shared" si="0"/>
        <v>Capel Farms, Lot 218 Hansen Rd, Capel</v>
      </c>
    </row>
    <row r="28" spans="2:6" x14ac:dyDescent="0.25">
      <c r="B28" t="s">
        <v>2566</v>
      </c>
      <c r="C28" t="s">
        <v>2567</v>
      </c>
      <c r="D28" t="s">
        <v>2568</v>
      </c>
      <c r="E28" t="s">
        <v>2569</v>
      </c>
      <c r="F28" s="89" t="str">
        <f t="shared" si="0"/>
        <v>Capel Fruit Co, LOC 675 Bussel Highway, Stratham</v>
      </c>
    </row>
    <row r="29" spans="2:6" x14ac:dyDescent="0.25">
      <c r="B29" t="s">
        <v>2570</v>
      </c>
      <c r="C29" t="s">
        <v>2571</v>
      </c>
      <c r="D29" t="s">
        <v>2572</v>
      </c>
      <c r="E29" t="s">
        <v>2573</v>
      </c>
      <c r="F29" s="89" t="str">
        <f t="shared" si="0"/>
        <v>Chan Bros, 408 Wattleup Rd, Wattleup</v>
      </c>
    </row>
    <row r="30" spans="2:6" x14ac:dyDescent="0.25">
      <c r="B30" t="s">
        <v>2574</v>
      </c>
      <c r="C30" t="s">
        <v>2575</v>
      </c>
      <c r="D30" t="s">
        <v>2523</v>
      </c>
      <c r="E30" t="s">
        <v>2576</v>
      </c>
      <c r="F30" s="89" t="str">
        <f t="shared" si="0"/>
        <v>Choice Strawberries, 181 Carabooda Road, Carabooda</v>
      </c>
    </row>
    <row r="31" spans="2:6" x14ac:dyDescent="0.25">
      <c r="B31" t="s">
        <v>2577</v>
      </c>
      <c r="C31" t="s">
        <v>2580</v>
      </c>
      <c r="D31" t="s">
        <v>2493</v>
      </c>
      <c r="E31" t="s">
        <v>2581</v>
      </c>
      <c r="F31" s="89" t="str">
        <f t="shared" si="0"/>
        <v>Collins Bros, Collins Siding Vasse hwy, Pemberton</v>
      </c>
    </row>
    <row r="32" spans="2:6" x14ac:dyDescent="0.25">
      <c r="B32" t="s">
        <v>2582</v>
      </c>
      <c r="C32" t="s">
        <v>2583</v>
      </c>
      <c r="D32" t="s">
        <v>2584</v>
      </c>
      <c r="E32" t="s">
        <v>2585</v>
      </c>
      <c r="F32" s="89" t="str">
        <f t="shared" si="0"/>
        <v>Combined Horse Transport, 245 Keenan St, Wungong</v>
      </c>
    </row>
    <row r="33" spans="2:6" x14ac:dyDescent="0.25">
      <c r="B33" t="s">
        <v>2586</v>
      </c>
      <c r="C33" t="s">
        <v>2587</v>
      </c>
      <c r="D33" t="s">
        <v>2493</v>
      </c>
      <c r="E33" t="s">
        <v>2588</v>
      </c>
      <c r="F33" s="89" t="str">
        <f t="shared" si="0"/>
        <v>D and D Favero, Nelson Loc 11342 Packer Rd, Pemberton</v>
      </c>
    </row>
    <row r="34" spans="2:6" x14ac:dyDescent="0.25">
      <c r="B34" t="s">
        <v>2596</v>
      </c>
      <c r="C34" t="s">
        <v>2597</v>
      </c>
      <c r="D34" t="s">
        <v>2493</v>
      </c>
      <c r="E34" t="s">
        <v>2598</v>
      </c>
      <c r="F34" s="89" t="str">
        <f t="shared" si="0"/>
        <v>D and D Roche and Son, Roche Rd, Pemberton</v>
      </c>
    </row>
    <row r="35" spans="2:6" x14ac:dyDescent="0.25">
      <c r="B35" t="s">
        <v>2599</v>
      </c>
      <c r="C35" t="s">
        <v>2600</v>
      </c>
      <c r="D35" t="s">
        <v>2601</v>
      </c>
      <c r="E35" t="s">
        <v>2602</v>
      </c>
      <c r="F35" s="89" t="str">
        <f t="shared" si="0"/>
        <v>David &amp; Janet Haynes, Lot 88 Nelson Loc. 7218 Vasse Hwy, Peerabeelup</v>
      </c>
    </row>
    <row r="36" spans="2:6" x14ac:dyDescent="0.25">
      <c r="B36" t="s">
        <v>2603</v>
      </c>
      <c r="C36" t="s">
        <v>2604</v>
      </c>
      <c r="D36" t="s">
        <v>2493</v>
      </c>
      <c r="E36" t="s">
        <v>2605</v>
      </c>
      <c r="F36" s="89" t="str">
        <f t="shared" si="0"/>
        <v>Delroy Orchards, 2 Froomes Rd, Pemberton</v>
      </c>
    </row>
    <row r="37" spans="2:6" x14ac:dyDescent="0.25">
      <c r="B37" t="s">
        <v>2606</v>
      </c>
      <c r="C37" t="s">
        <v>2607</v>
      </c>
      <c r="D37" t="s">
        <v>2608</v>
      </c>
      <c r="E37" t="s">
        <v>2609</v>
      </c>
      <c r="F37" s="89" t="str">
        <f t="shared" si="0"/>
        <v>Donnybrook Packing Company, Lot 606 Collins St, Donnybrook</v>
      </c>
    </row>
    <row r="38" spans="2:6" x14ac:dyDescent="0.25">
      <c r="B38" t="s">
        <v>2610</v>
      </c>
      <c r="C38" t="s">
        <v>2611</v>
      </c>
      <c r="D38" t="s">
        <v>2612</v>
      </c>
      <c r="E38" t="s">
        <v>2613</v>
      </c>
      <c r="F38" s="89" t="str">
        <f t="shared" si="0"/>
        <v>Duc  &amp; Sinh Nguyen, Lot 15 Mullewa Road, Geraldton</v>
      </c>
    </row>
    <row r="39" spans="2:6" x14ac:dyDescent="0.25">
      <c r="B39" t="s">
        <v>2614</v>
      </c>
      <c r="C39" t="s">
        <v>2615</v>
      </c>
      <c r="D39" t="s">
        <v>2485</v>
      </c>
      <c r="E39" t="s">
        <v>2616</v>
      </c>
      <c r="F39" s="89" t="str">
        <f t="shared" si="0"/>
        <v>Edwards Farm P/L, Lot 1 Graphite Road, Manjimup</v>
      </c>
    </row>
    <row r="40" spans="2:6" x14ac:dyDescent="0.25">
      <c r="B40" t="s">
        <v>2617</v>
      </c>
      <c r="C40" t="s">
        <v>2618</v>
      </c>
      <c r="D40" t="s">
        <v>2619</v>
      </c>
      <c r="E40" t="s">
        <v>2620</v>
      </c>
      <c r="F40" s="89" t="str">
        <f t="shared" si="0"/>
        <v>Empro, Unit 2A 280 Bannister Road, Canning Vale</v>
      </c>
    </row>
    <row r="41" spans="2:6" x14ac:dyDescent="0.25">
      <c r="B41" t="s">
        <v>2621</v>
      </c>
      <c r="C41" t="s">
        <v>2622</v>
      </c>
      <c r="D41" t="s">
        <v>2619</v>
      </c>
      <c r="E41" t="s">
        <v>2623</v>
      </c>
      <c r="F41" s="89" t="str">
        <f t="shared" ref="F41:F72" si="1">B41 &amp; ", " &amp; C41 &amp; ", " &amp; D41</f>
        <v>EPT Sales, CTA Market City, 280 Bannister Rd, Canning Vale</v>
      </c>
    </row>
    <row r="42" spans="2:6" x14ac:dyDescent="0.25">
      <c r="B42" t="s">
        <v>2624</v>
      </c>
      <c r="C42" t="s">
        <v>2625</v>
      </c>
      <c r="D42" t="s">
        <v>2626</v>
      </c>
      <c r="E42" t="s">
        <v>2627</v>
      </c>
      <c r="F42" s="89" t="str">
        <f t="shared" si="1"/>
        <v>Erceg Holdings P/L, 131Pickering Brook Rd, Pickering Brook</v>
      </c>
    </row>
    <row r="43" spans="2:6" x14ac:dyDescent="0.25">
      <c r="B43" t="s">
        <v>2628</v>
      </c>
      <c r="C43" t="s">
        <v>2629</v>
      </c>
      <c r="D43" t="s">
        <v>2626</v>
      </c>
      <c r="E43" t="s">
        <v>2630</v>
      </c>
      <c r="F43" s="89" t="str">
        <f t="shared" si="1"/>
        <v>Erceg Holdings Pty Ltd, 95 Pickering  Brook Rd, Pickering Brook</v>
      </c>
    </row>
    <row r="44" spans="2:6" x14ac:dyDescent="0.25">
      <c r="B44" s="88" t="s">
        <v>46</v>
      </c>
      <c r="C44" t="s">
        <v>2631</v>
      </c>
      <c r="D44" t="s">
        <v>2608</v>
      </c>
      <c r="E44" t="s">
        <v>2632</v>
      </c>
      <c r="F44" s="89" t="str">
        <f t="shared" si="1"/>
        <v>Erceg Holdings Pty Ltd (DB), 18245 South Western Hwy, Donnybrook</v>
      </c>
    </row>
    <row r="45" spans="2:6" x14ac:dyDescent="0.25">
      <c r="B45" t="s">
        <v>2633</v>
      </c>
      <c r="C45" t="s">
        <v>2634</v>
      </c>
      <c r="D45" t="s">
        <v>2619</v>
      </c>
      <c r="E45" t="s">
        <v>2635</v>
      </c>
      <c r="F45" s="89" t="str">
        <f t="shared" si="1"/>
        <v>Etherington, Market City, 280 Bannister Road, Canning Vale</v>
      </c>
    </row>
    <row r="46" spans="2:6" x14ac:dyDescent="0.25">
      <c r="B46" t="s">
        <v>2636</v>
      </c>
      <c r="C46" t="s">
        <v>2637</v>
      </c>
      <c r="D46" t="s">
        <v>2638</v>
      </c>
      <c r="E46" t="s">
        <v>2639</v>
      </c>
      <c r="F46" s="89" t="str">
        <f t="shared" si="1"/>
        <v>Floraco Pty Ltd, 25 Kensington St, East Perth</v>
      </c>
    </row>
    <row r="47" spans="2:6" x14ac:dyDescent="0.25">
      <c r="B47" t="s">
        <v>2640</v>
      </c>
      <c r="C47" t="s">
        <v>2641</v>
      </c>
      <c r="D47" t="s">
        <v>2642</v>
      </c>
      <c r="E47" t="s">
        <v>2643</v>
      </c>
      <c r="F47" s="89" t="str">
        <f t="shared" si="1"/>
        <v>Flying Flowers, 3A Sleeman Close, O'Connor</v>
      </c>
    </row>
    <row r="48" spans="2:6" x14ac:dyDescent="0.25">
      <c r="B48" t="s">
        <v>2650</v>
      </c>
      <c r="C48" t="s">
        <v>2651</v>
      </c>
      <c r="D48" t="s">
        <v>2485</v>
      </c>
      <c r="E48" t="s">
        <v>2652</v>
      </c>
      <c r="F48" s="89" t="str">
        <f t="shared" si="1"/>
        <v>Fonty's Pool Farm, Loc 2713 Seven Day Rd, Manjimup</v>
      </c>
    </row>
    <row r="49" spans="2:6" x14ac:dyDescent="0.25">
      <c r="B49" t="s">
        <v>2653</v>
      </c>
      <c r="C49" t="s">
        <v>2654</v>
      </c>
      <c r="D49" t="s">
        <v>2655</v>
      </c>
      <c r="E49" t="s">
        <v>2656</v>
      </c>
      <c r="F49" s="89" t="str">
        <f t="shared" si="1"/>
        <v>French's Group 89 P/L, Loc 10060 Channybearup Road, West Pemberton</v>
      </c>
    </row>
    <row r="50" spans="2:6" x14ac:dyDescent="0.25">
      <c r="B50" t="s">
        <v>2657</v>
      </c>
      <c r="C50" t="s">
        <v>2658</v>
      </c>
      <c r="D50" t="s">
        <v>2619</v>
      </c>
      <c r="E50" t="s">
        <v>2659</v>
      </c>
      <c r="F50" s="89" t="str">
        <f t="shared" si="1"/>
        <v>Fresh Express, Market City Warehouse E4, Door 4 280 Bannister Road, Canning Vale</v>
      </c>
    </row>
    <row r="51" spans="2:6" x14ac:dyDescent="0.25">
      <c r="B51" t="s">
        <v>2660</v>
      </c>
      <c r="C51" t="s">
        <v>2661</v>
      </c>
      <c r="D51" t="s">
        <v>2555</v>
      </c>
      <c r="E51" t="s">
        <v>2662</v>
      </c>
      <c r="F51" s="89" t="str">
        <f t="shared" si="1"/>
        <v>Fruitlands Company, 957 Jarrahdale Rd, Jarrahdale</v>
      </c>
    </row>
    <row r="52" spans="2:6" x14ac:dyDescent="0.25">
      <c r="B52" t="s">
        <v>2663</v>
      </c>
      <c r="C52" t="s">
        <v>2664</v>
      </c>
      <c r="D52" t="s">
        <v>2665</v>
      </c>
      <c r="E52" t="s">
        <v>2666</v>
      </c>
      <c r="F52" s="89" t="str">
        <f t="shared" si="1"/>
        <v>Futari Grain Technology Services, 34 Francis St, Narrabri  Nsw</v>
      </c>
    </row>
    <row r="53" spans="2:6" x14ac:dyDescent="0.25">
      <c r="B53" t="s">
        <v>2667</v>
      </c>
      <c r="C53" t="s">
        <v>2668</v>
      </c>
      <c r="D53" t="s">
        <v>2485</v>
      </c>
      <c r="E53" t="s">
        <v>2669</v>
      </c>
      <c r="F53" s="89" t="str">
        <f t="shared" si="1"/>
        <v>G and K Nicolaou and Son, Nelson Loc. 12089  Mitchelldean Road, Manjimup</v>
      </c>
    </row>
    <row r="54" spans="2:6" x14ac:dyDescent="0.25">
      <c r="B54" t="s">
        <v>2670</v>
      </c>
      <c r="C54" t="s">
        <v>2671</v>
      </c>
      <c r="D54" t="s">
        <v>2672</v>
      </c>
      <c r="E54" t="s">
        <v>2673</v>
      </c>
      <c r="F54" s="89" t="str">
        <f t="shared" si="1"/>
        <v>Galwey Horticultural, Great Northern Hwy, Broome</v>
      </c>
    </row>
    <row r="55" spans="2:6" x14ac:dyDescent="0.25">
      <c r="B55" t="s">
        <v>2674</v>
      </c>
      <c r="C55" t="s">
        <v>2675</v>
      </c>
      <c r="D55" t="s">
        <v>2685</v>
      </c>
      <c r="E55" t="s">
        <v>2686</v>
      </c>
      <c r="F55" s="89" t="str">
        <f t="shared" si="1"/>
        <v>Gascoyne Gold Pty Ltd, 199 North West Coastal Hwy, Carnarvon</v>
      </c>
    </row>
    <row r="56" spans="2:6" x14ac:dyDescent="0.25">
      <c r="B56" t="s">
        <v>2687</v>
      </c>
      <c r="C56" t="s">
        <v>2688</v>
      </c>
      <c r="D56" t="s">
        <v>2685</v>
      </c>
      <c r="E56" t="s">
        <v>2689</v>
      </c>
      <c r="F56" s="89" t="str">
        <f t="shared" si="1"/>
        <v>Gascoyne Organic Biodynamic Farms, 17 North River Road, Carnarvon</v>
      </c>
    </row>
    <row r="57" spans="2:6" x14ac:dyDescent="0.25">
      <c r="B57" t="s">
        <v>2690</v>
      </c>
      <c r="C57" t="s">
        <v>2691</v>
      </c>
      <c r="D57" t="s">
        <v>2608</v>
      </c>
      <c r="E57" t="s">
        <v>2692</v>
      </c>
      <c r="F57" s="89" t="str">
        <f t="shared" si="1"/>
        <v>Golden Mile Coolstore and Transport, Collins St, Donnybrook</v>
      </c>
    </row>
    <row r="58" spans="2:6" x14ac:dyDescent="0.25">
      <c r="B58" t="s">
        <v>2693</v>
      </c>
      <c r="C58" t="s">
        <v>2694</v>
      </c>
      <c r="D58" t="s">
        <v>2608</v>
      </c>
      <c r="E58" t="s">
        <v>2695</v>
      </c>
      <c r="F58" s="89" t="str">
        <f t="shared" si="1"/>
        <v>Golden Mile Orchards Pty Ltd, Loc 873 Sth West Hwy, Donnybrook</v>
      </c>
    </row>
    <row r="59" spans="2:6" x14ac:dyDescent="0.25">
      <c r="B59" t="s">
        <v>2696</v>
      </c>
      <c r="C59" t="s">
        <v>2697</v>
      </c>
      <c r="D59" t="s">
        <v>2698</v>
      </c>
      <c r="E59" t="s">
        <v>2699</v>
      </c>
      <c r="F59" s="89" t="str">
        <f t="shared" si="1"/>
        <v>Grasstrees Australia, 670 Welshpool Rd East, Wattle Grove</v>
      </c>
    </row>
    <row r="60" spans="2:6" x14ac:dyDescent="0.25">
      <c r="B60" t="s">
        <v>2700</v>
      </c>
      <c r="C60" t="s">
        <v>2701</v>
      </c>
      <c r="D60" t="s">
        <v>2702</v>
      </c>
      <c r="E60" t="s">
        <v>2703</v>
      </c>
      <c r="F60" s="89" t="str">
        <f t="shared" si="1"/>
        <v>Hais Produce, 171 Elliot Road, Wanneroo</v>
      </c>
    </row>
    <row r="61" spans="2:6" x14ac:dyDescent="0.25">
      <c r="B61" t="s">
        <v>2704</v>
      </c>
      <c r="C61" t="s">
        <v>2705</v>
      </c>
      <c r="D61" t="s">
        <v>2706</v>
      </c>
      <c r="E61" t="s">
        <v>2707</v>
      </c>
      <c r="F61" s="89" t="str">
        <f t="shared" si="1"/>
        <v>Handasyde Strawberries Albany, 154 Greatrex Rd, Albany</v>
      </c>
    </row>
    <row r="62" spans="2:6" x14ac:dyDescent="0.25">
      <c r="B62" t="s">
        <v>2708</v>
      </c>
      <c r="C62" t="s">
        <v>2709</v>
      </c>
      <c r="D62" t="s">
        <v>2710</v>
      </c>
      <c r="E62" t="s">
        <v>2711</v>
      </c>
      <c r="F62" s="89" t="str">
        <f t="shared" si="1"/>
        <v>Hartmann's Garden Centre, 512 Broome Road, Broome Wa</v>
      </c>
    </row>
    <row r="63" spans="2:6" x14ac:dyDescent="0.25">
      <c r="B63" t="s">
        <v>2717</v>
      </c>
      <c r="C63" t="s">
        <v>2718</v>
      </c>
      <c r="D63" t="s">
        <v>2493</v>
      </c>
      <c r="E63" t="s">
        <v>2719</v>
      </c>
      <c r="F63" s="89" t="str">
        <f t="shared" si="1"/>
        <v>Hawke Brook Chalets, Lot 300 Hawke Rd, Pemberton</v>
      </c>
    </row>
    <row r="64" spans="2:6" x14ac:dyDescent="0.25">
      <c r="B64" t="s">
        <v>2720</v>
      </c>
      <c r="C64" t="s">
        <v>2737</v>
      </c>
      <c r="D64" t="s">
        <v>2626</v>
      </c>
      <c r="E64" t="s">
        <v>2738</v>
      </c>
      <c r="F64" s="89" t="str">
        <f t="shared" si="1"/>
        <v>High Vale Orchard Pty Ltd, 35 Merrivale Rd, Pickering Brook</v>
      </c>
    </row>
    <row r="65" spans="2:6" x14ac:dyDescent="0.25">
      <c r="B65" t="s">
        <v>2739</v>
      </c>
      <c r="C65" t="s">
        <v>2740</v>
      </c>
      <c r="D65" t="s">
        <v>2626</v>
      </c>
      <c r="E65" t="s">
        <v>2741</v>
      </c>
      <c r="F65" s="89" t="str">
        <f t="shared" si="1"/>
        <v>Hills Cold Stores, 951 Canning Road, Pickering Brook</v>
      </c>
    </row>
    <row r="66" spans="2:6" x14ac:dyDescent="0.25">
      <c r="B66" t="s">
        <v>2742</v>
      </c>
      <c r="C66" t="s">
        <v>2743</v>
      </c>
      <c r="D66" t="s">
        <v>2672</v>
      </c>
      <c r="E66" t="s">
        <v>2744</v>
      </c>
      <c r="F66" s="89" t="str">
        <f t="shared" si="1"/>
        <v>Hunter Street Nursery, 4 Hunter Street, Broome</v>
      </c>
    </row>
    <row r="67" spans="2:6" x14ac:dyDescent="0.25">
      <c r="B67" t="s">
        <v>2745</v>
      </c>
      <c r="C67" t="s">
        <v>2746</v>
      </c>
      <c r="D67" t="s">
        <v>2493</v>
      </c>
      <c r="E67" t="s">
        <v>2747</v>
      </c>
      <c r="F67" s="89" t="str">
        <f t="shared" si="1"/>
        <v>Jarrah Jacks Developments P/L, Lot 11935 Kemp Road, Pemberton</v>
      </c>
    </row>
    <row r="68" spans="2:6" x14ac:dyDescent="0.25">
      <c r="B68" t="s">
        <v>2753</v>
      </c>
      <c r="C68" t="s">
        <v>2754</v>
      </c>
      <c r="D68" t="s">
        <v>2755</v>
      </c>
      <c r="E68" t="s">
        <v>2756</v>
      </c>
      <c r="F68" s="89" t="str">
        <f t="shared" si="1"/>
        <v>Jasper Farms, 68 Jasper Road, Yoongarillup</v>
      </c>
    </row>
    <row r="69" spans="2:6" x14ac:dyDescent="0.25">
      <c r="B69" t="s">
        <v>2757</v>
      </c>
      <c r="C69" t="s">
        <v>2758</v>
      </c>
      <c r="D69" t="s">
        <v>2493</v>
      </c>
      <c r="E69" t="s">
        <v>2759</v>
      </c>
      <c r="F69" s="89" t="str">
        <f t="shared" si="1"/>
        <v>Joe Bendotti and Co, Golf Links Rd, Pemberton</v>
      </c>
    </row>
    <row r="70" spans="2:6" x14ac:dyDescent="0.25">
      <c r="B70" t="s">
        <v>2760</v>
      </c>
      <c r="C70" t="s">
        <v>2761</v>
      </c>
      <c r="D70" t="s">
        <v>2485</v>
      </c>
      <c r="E70" t="s">
        <v>2762</v>
      </c>
      <c r="F70" s="89" t="str">
        <f t="shared" si="1"/>
        <v>John William Brealey, Loc. 9216 Rappoff Road, Manjimup</v>
      </c>
    </row>
    <row r="71" spans="2:6" x14ac:dyDescent="0.25">
      <c r="B71" t="s">
        <v>2763</v>
      </c>
      <c r="C71" t="s">
        <v>2764</v>
      </c>
      <c r="D71" t="s">
        <v>2765</v>
      </c>
      <c r="E71" t="s">
        <v>2766</v>
      </c>
      <c r="F71" s="89" t="str">
        <f t="shared" si="1"/>
        <v>Karragullen Cool Storage, 42 Rokewood Way, Karragullen</v>
      </c>
    </row>
    <row r="72" spans="2:6" x14ac:dyDescent="0.25">
      <c r="B72" t="s">
        <v>2767</v>
      </c>
      <c r="C72" t="s">
        <v>2768</v>
      </c>
      <c r="D72" t="s">
        <v>2672</v>
      </c>
      <c r="E72" t="s">
        <v>2769</v>
      </c>
      <c r="F72" s="89" t="str">
        <f t="shared" si="1"/>
        <v>Kimberley Palm Factory, 11B Millington Road, Broome</v>
      </c>
    </row>
    <row r="73" spans="2:6" x14ac:dyDescent="0.25">
      <c r="B73" t="s">
        <v>2770</v>
      </c>
      <c r="C73" t="s">
        <v>2771</v>
      </c>
      <c r="D73" t="s">
        <v>2485</v>
      </c>
      <c r="E73" t="s">
        <v>2772</v>
      </c>
      <c r="F73" s="89" t="str">
        <f t="shared" ref="F73:F104" si="2">B73 &amp; ", " &amp; C73 &amp; ", " &amp; D73</f>
        <v>KO and JA Luzny, Graphite Rd, Manjimup</v>
      </c>
    </row>
    <row r="74" spans="2:6" x14ac:dyDescent="0.25">
      <c r="B74" t="s">
        <v>2773</v>
      </c>
      <c r="C74" t="s">
        <v>2774</v>
      </c>
      <c r="D74" t="s">
        <v>2775</v>
      </c>
      <c r="E74" t="s">
        <v>2776</v>
      </c>
      <c r="F74" s="89" t="str">
        <f t="shared" si="2"/>
        <v>KTP and NTL Fresh Producers, Lot 3 Geraldton Mount Magnet Road, Mooyoonooka</v>
      </c>
    </row>
    <row r="75" spans="2:6" x14ac:dyDescent="0.25">
      <c r="B75" t="s">
        <v>2777</v>
      </c>
      <c r="C75" t="s">
        <v>2778</v>
      </c>
      <c r="D75" t="s">
        <v>2779</v>
      </c>
      <c r="E75" t="s">
        <v>2780</v>
      </c>
      <c r="F75" s="89" t="str">
        <f t="shared" si="2"/>
        <v>Landsdale Strawberry Farm Pty Ltd, Lot 156 Alexander Drive, Landsdale</v>
      </c>
    </row>
    <row r="76" spans="2:6" x14ac:dyDescent="0.25">
      <c r="B76" t="s">
        <v>2781</v>
      </c>
      <c r="C76" t="s">
        <v>2782</v>
      </c>
      <c r="D76" t="s">
        <v>2783</v>
      </c>
      <c r="E76" t="s">
        <v>2784</v>
      </c>
      <c r="F76" s="89" t="str">
        <f t="shared" si="2"/>
        <v>Luckens Fumigation Services, 69 Dowd Street, Welshpool</v>
      </c>
    </row>
    <row r="77" spans="2:6" x14ac:dyDescent="0.25">
      <c r="B77" t="s">
        <v>2785</v>
      </c>
      <c r="C77" t="s">
        <v>2786</v>
      </c>
      <c r="D77" t="s">
        <v>2765</v>
      </c>
      <c r="E77" t="s">
        <v>2787</v>
      </c>
      <c r="F77" s="89" t="str">
        <f t="shared" si="2"/>
        <v>M Maher &amp; Co, 171 Irymple Road, Karragullen</v>
      </c>
    </row>
    <row r="78" spans="2:6" x14ac:dyDescent="0.25">
      <c r="B78" t="s">
        <v>2788</v>
      </c>
      <c r="C78" t="s">
        <v>2789</v>
      </c>
      <c r="D78" t="s">
        <v>2790</v>
      </c>
      <c r="E78" t="s">
        <v>2791</v>
      </c>
      <c r="F78" s="89" t="str">
        <f t="shared" si="2"/>
        <v>Mal Van Tiet &amp; Hien Lam, 348 Sydney Road, Gnangara</v>
      </c>
    </row>
    <row r="79" spans="2:6" x14ac:dyDescent="0.25">
      <c r="B79" t="s">
        <v>2792</v>
      </c>
      <c r="C79" t="s">
        <v>2793</v>
      </c>
      <c r="D79" t="s">
        <v>2493</v>
      </c>
      <c r="E79" t="s">
        <v>2794</v>
      </c>
      <c r="F79" s="89" t="str">
        <f t="shared" si="2"/>
        <v>Marron Brook Partners, Loc 8191 Hawke Rd, Pemberton</v>
      </c>
    </row>
    <row r="80" spans="2:6" x14ac:dyDescent="0.25">
      <c r="B80" t="s">
        <v>2795</v>
      </c>
      <c r="C80" t="s">
        <v>2796</v>
      </c>
      <c r="D80" t="s">
        <v>2485</v>
      </c>
      <c r="E80" t="s">
        <v>2797</v>
      </c>
      <c r="F80" s="89" t="str">
        <f t="shared" si="2"/>
        <v>Mayfield Park Gardens, Edwards Rd, Manjimup</v>
      </c>
    </row>
    <row r="81" spans="2:6" x14ac:dyDescent="0.25">
      <c r="B81" t="s">
        <v>2798</v>
      </c>
      <c r="C81" t="s">
        <v>2799</v>
      </c>
      <c r="D81" t="s">
        <v>2800</v>
      </c>
      <c r="E81" t="s">
        <v>2801</v>
      </c>
      <c r="F81" s="89" t="str">
        <f t="shared" si="2"/>
        <v>Mercer Mooney, Warehouse E6 Market City 280 Bannister Rd, Canningvale</v>
      </c>
    </row>
    <row r="82" spans="2:6" x14ac:dyDescent="0.25">
      <c r="B82" t="s">
        <v>2802</v>
      </c>
      <c r="C82" t="s">
        <v>2803</v>
      </c>
      <c r="D82" t="s">
        <v>2672</v>
      </c>
      <c r="E82" t="s">
        <v>2804</v>
      </c>
      <c r="F82" s="89" t="str">
        <f t="shared" si="2"/>
        <v>Millstream Landscapes North West, 5 Archer Street, Broome</v>
      </c>
    </row>
    <row r="83" spans="2:6" x14ac:dyDescent="0.25">
      <c r="B83" t="s">
        <v>2805</v>
      </c>
      <c r="C83" t="s">
        <v>2806</v>
      </c>
      <c r="D83" t="s">
        <v>2702</v>
      </c>
      <c r="E83" t="s">
        <v>2807</v>
      </c>
      <c r="F83" s="89" t="str">
        <f t="shared" si="2"/>
        <v>Ming Tram NG, 2 Ross Road, Wanneroo</v>
      </c>
    </row>
    <row r="84" spans="2:6" x14ac:dyDescent="0.25">
      <c r="B84" t="s">
        <v>2808</v>
      </c>
      <c r="C84" t="s">
        <v>2809</v>
      </c>
      <c r="D84" t="s">
        <v>2810</v>
      </c>
      <c r="E84" t="s">
        <v>2811</v>
      </c>
      <c r="F84" s="89" t="str">
        <f t="shared" si="2"/>
        <v>Mission Horticulture Pty Ltd, RMB 725 Dorsett Rd, Waroona</v>
      </c>
    </row>
    <row r="85" spans="2:6" x14ac:dyDescent="0.25">
      <c r="B85" t="s">
        <v>2812</v>
      </c>
      <c r="C85" t="s">
        <v>2813</v>
      </c>
      <c r="D85" t="s">
        <v>2493</v>
      </c>
      <c r="E85" t="s">
        <v>2814</v>
      </c>
      <c r="F85" s="89" t="str">
        <f t="shared" si="2"/>
        <v>Moonlight Forest, Nelson Loc 9083 Stirling Rd, Pemberton</v>
      </c>
    </row>
    <row r="86" spans="2:6" x14ac:dyDescent="0.25">
      <c r="B86" t="s">
        <v>2815</v>
      </c>
      <c r="C86" t="s">
        <v>2816</v>
      </c>
      <c r="D86" t="s">
        <v>2817</v>
      </c>
      <c r="E86" t="s">
        <v>2818</v>
      </c>
      <c r="F86" s="89" t="str">
        <f t="shared" si="2"/>
        <v>Muchea Tree Farm, 86 Archibald St, Muchea</v>
      </c>
    </row>
    <row r="87" spans="2:6" x14ac:dyDescent="0.25">
      <c r="B87" t="s">
        <v>2819</v>
      </c>
      <c r="C87" t="s">
        <v>2820</v>
      </c>
      <c r="D87" t="s">
        <v>2551</v>
      </c>
      <c r="E87" t="s">
        <v>2821</v>
      </c>
      <c r="F87" s="89" t="str">
        <f t="shared" si="2"/>
        <v>Mystery Creek Avocado's, 4479 Jalbarragup Rd, Busselton</v>
      </c>
    </row>
    <row r="88" spans="2:6" x14ac:dyDescent="0.25">
      <c r="B88" t="s">
        <v>2822</v>
      </c>
      <c r="C88" t="s">
        <v>2823</v>
      </c>
      <c r="D88" t="s">
        <v>2523</v>
      </c>
      <c r="E88" t="s">
        <v>2824</v>
      </c>
      <c r="F88" s="89" t="str">
        <f t="shared" si="2"/>
        <v>Nanovich, Lot 30 Old Yanchep Road, Carabooda</v>
      </c>
    </row>
    <row r="89" spans="2:6" x14ac:dyDescent="0.25">
      <c r="B89" t="s">
        <v>2825</v>
      </c>
      <c r="C89" t="s">
        <v>2771</v>
      </c>
      <c r="D89" t="s">
        <v>2485</v>
      </c>
      <c r="E89" t="s">
        <v>2826</v>
      </c>
      <c r="F89" s="89" t="str">
        <f t="shared" si="2"/>
        <v>Newton Bros, Graphite Rd, Manjimup</v>
      </c>
    </row>
    <row r="90" spans="2:6" x14ac:dyDescent="0.25">
      <c r="B90" t="s">
        <v>2827</v>
      </c>
      <c r="C90" t="s">
        <v>2828</v>
      </c>
      <c r="D90" t="s">
        <v>2829</v>
      </c>
      <c r="E90" t="s">
        <v>2830</v>
      </c>
      <c r="F90" s="89" t="str">
        <f t="shared" si="2"/>
        <v>Nguyen Price, Lot 727 Geraldton Mt Magnet Road, Moonyoonooka</v>
      </c>
    </row>
    <row r="91" spans="2:6" x14ac:dyDescent="0.25">
      <c r="B91" t="s">
        <v>2831</v>
      </c>
      <c r="C91" t="s">
        <v>2832</v>
      </c>
      <c r="D91" t="s">
        <v>2829</v>
      </c>
      <c r="E91" t="s">
        <v>2833</v>
      </c>
      <c r="F91" s="89" t="str">
        <f t="shared" si="2"/>
        <v>Nguyen Thi Hoang &amp; Danh Vinh, Lot 555 Mullewa Rd, Moonyoonooka</v>
      </c>
    </row>
    <row r="92" spans="2:6" x14ac:dyDescent="0.25">
      <c r="B92" t="s">
        <v>2834</v>
      </c>
      <c r="C92" t="s">
        <v>2835</v>
      </c>
      <c r="D92" t="s">
        <v>2493</v>
      </c>
      <c r="E92" t="s">
        <v>2836</v>
      </c>
      <c r="F92" s="89" t="str">
        <f t="shared" si="2"/>
        <v>Nigel Love &amp; Vanessa Roche, Loc. 8950 Parker Road, Pemberton</v>
      </c>
    </row>
    <row r="93" spans="2:6" x14ac:dyDescent="0.25">
      <c r="B93" t="s">
        <v>2837</v>
      </c>
      <c r="C93" t="s">
        <v>2838</v>
      </c>
      <c r="D93" t="s">
        <v>2839</v>
      </c>
      <c r="E93" t="s">
        <v>2840</v>
      </c>
      <c r="F93" s="89" t="str">
        <f t="shared" si="2"/>
        <v>Notable Horse Transport, 40 Hazelmere Circus, Hazelmere</v>
      </c>
    </row>
    <row r="94" spans="2:6" x14ac:dyDescent="0.25">
      <c r="B94" t="s">
        <v>2841</v>
      </c>
      <c r="C94" t="s">
        <v>2842</v>
      </c>
      <c r="D94" t="s">
        <v>2848</v>
      </c>
      <c r="E94" t="s">
        <v>2849</v>
      </c>
      <c r="F94" s="89" t="str">
        <f t="shared" si="2"/>
        <v>Oakwood Downs, 360 Marybrook Road, Marybrook</v>
      </c>
    </row>
    <row r="95" spans="2:6" x14ac:dyDescent="0.25">
      <c r="B95" t="s">
        <v>2850</v>
      </c>
      <c r="C95" t="s">
        <v>2851</v>
      </c>
      <c r="D95" t="s">
        <v>1977</v>
      </c>
      <c r="E95" t="s">
        <v>2852</v>
      </c>
      <c r="F95" s="89" t="str">
        <f t="shared" si="2"/>
        <v>Oasis Fresh Pty Ltd, 29 Everette Way, Hope Valley</v>
      </c>
    </row>
    <row r="96" spans="2:6" x14ac:dyDescent="0.25">
      <c r="B96" t="s">
        <v>2853</v>
      </c>
      <c r="C96" t="s">
        <v>2854</v>
      </c>
      <c r="D96" t="s">
        <v>2855</v>
      </c>
      <c r="E96" t="s">
        <v>2856</v>
      </c>
      <c r="F96" s="89" t="str">
        <f t="shared" si="2"/>
        <v>Orica Australia, 114 Kurrajong  Ave, Mount Druitt</v>
      </c>
    </row>
    <row r="97" spans="2:6" x14ac:dyDescent="0.25">
      <c r="B97" t="s">
        <v>2857</v>
      </c>
      <c r="C97" t="s">
        <v>2858</v>
      </c>
      <c r="D97" t="s">
        <v>2493</v>
      </c>
      <c r="E97" t="s">
        <v>2859</v>
      </c>
      <c r="F97" s="89" t="str">
        <f t="shared" si="2"/>
        <v>P &amp; S Goldring, LOC 8953 Packer Road, Pemberton</v>
      </c>
    </row>
    <row r="98" spans="2:6" x14ac:dyDescent="0.25">
      <c r="B98" t="s">
        <v>2860</v>
      </c>
      <c r="C98" t="s">
        <v>2861</v>
      </c>
      <c r="D98" t="s">
        <v>2862</v>
      </c>
      <c r="E98" t="s">
        <v>2863</v>
      </c>
      <c r="F98" s="89" t="str">
        <f t="shared" si="2"/>
        <v>Paul Ramsay, 10 Forbes St, Ascot</v>
      </c>
    </row>
    <row r="99" spans="2:6" x14ac:dyDescent="0.25">
      <c r="B99" t="s">
        <v>2864</v>
      </c>
      <c r="C99" t="s">
        <v>2865</v>
      </c>
      <c r="D99" t="s">
        <v>2672</v>
      </c>
      <c r="E99" t="s">
        <v>2866</v>
      </c>
      <c r="F99" s="89" t="str">
        <f t="shared" si="2"/>
        <v>Pearl Coast Palms, Lot 35 Yamashita Street, Broome</v>
      </c>
    </row>
    <row r="100" spans="2:6" x14ac:dyDescent="0.25">
      <c r="B100" t="s">
        <v>2867</v>
      </c>
      <c r="C100" t="s">
        <v>2881</v>
      </c>
      <c r="D100" t="s">
        <v>2889</v>
      </c>
      <c r="E100" t="s">
        <v>2890</v>
      </c>
      <c r="F100" s="89" t="str">
        <f t="shared" si="2"/>
        <v>Peter Shane Cocking, 210 Roberts Rd, Denmark</v>
      </c>
    </row>
    <row r="101" spans="2:6" x14ac:dyDescent="0.25">
      <c r="B101" t="s">
        <v>2891</v>
      </c>
      <c r="C101" t="s">
        <v>2892</v>
      </c>
      <c r="D101" t="s">
        <v>2893</v>
      </c>
      <c r="E101" t="s">
        <v>2894</v>
      </c>
      <c r="F101" s="89" t="str">
        <f t="shared" si="2"/>
        <v>Podargus, Lot 310 Black Rock Rd, Margaret River</v>
      </c>
    </row>
    <row r="102" spans="2:6" x14ac:dyDescent="0.25">
      <c r="B102" t="s">
        <v>2895</v>
      </c>
      <c r="C102" t="s">
        <v>2896</v>
      </c>
      <c r="D102" t="s">
        <v>2493</v>
      </c>
      <c r="E102" t="s">
        <v>2897</v>
      </c>
      <c r="F102" s="89" t="str">
        <f t="shared" si="2"/>
        <v>PW &amp; SM Barnsby, Fox Road, Pemberton</v>
      </c>
    </row>
    <row r="103" spans="2:6" x14ac:dyDescent="0.25">
      <c r="B103" t="s">
        <v>2898</v>
      </c>
      <c r="C103" t="s">
        <v>2899</v>
      </c>
      <c r="D103" t="s">
        <v>2900</v>
      </c>
      <c r="E103" t="s">
        <v>2901</v>
      </c>
      <c r="F103" s="89" t="str">
        <f t="shared" si="2"/>
        <v>R &amp; M Kemp, Merrup Rd, Northcliffe</v>
      </c>
    </row>
    <row r="104" spans="2:6" x14ac:dyDescent="0.25">
      <c r="B104" t="s">
        <v>2902</v>
      </c>
      <c r="C104" t="s">
        <v>2492</v>
      </c>
      <c r="D104" t="s">
        <v>2493</v>
      </c>
      <c r="E104" t="s">
        <v>2903</v>
      </c>
      <c r="F104" s="89" t="str">
        <f t="shared" si="2"/>
        <v>R &amp; S Bamess, Channybearup Rd, Pemberton</v>
      </c>
    </row>
    <row r="105" spans="2:6" x14ac:dyDescent="0.25">
      <c r="B105" s="88" t="s">
        <v>48</v>
      </c>
      <c r="C105" t="s">
        <v>2904</v>
      </c>
      <c r="D105" t="s">
        <v>2485</v>
      </c>
      <c r="E105" t="s">
        <v>2905</v>
      </c>
      <c r="F105" s="89" t="str">
        <f t="shared" ref="F105:F136" si="3">B105 &amp; ", " &amp; C105 &amp; ", " &amp; D105</f>
        <v>R &amp; S Bamess (Cr), Churches Road, Manjimup</v>
      </c>
    </row>
    <row r="106" spans="2:6" x14ac:dyDescent="0.25">
      <c r="B106" s="88" t="s">
        <v>47</v>
      </c>
      <c r="C106" t="s">
        <v>2906</v>
      </c>
      <c r="D106" t="s">
        <v>2485</v>
      </c>
      <c r="E106" t="s">
        <v>2907</v>
      </c>
      <c r="F106" s="89" t="str">
        <f t="shared" si="3"/>
        <v>R &amp; S Bamess (Sr), Springall Road, Manjimup</v>
      </c>
    </row>
    <row r="107" spans="2:6" x14ac:dyDescent="0.25">
      <c r="B107" t="s">
        <v>2908</v>
      </c>
      <c r="C107" t="s">
        <v>2909</v>
      </c>
      <c r="D107" t="s">
        <v>2910</v>
      </c>
      <c r="E107" t="s">
        <v>2911</v>
      </c>
      <c r="F107" s="89" t="str">
        <f t="shared" si="3"/>
        <v>Rainbow Daylilies, Lot 1 Grange Way, Dunsborough</v>
      </c>
    </row>
    <row r="108" spans="2:6" x14ac:dyDescent="0.25">
      <c r="B108" t="s">
        <v>2924</v>
      </c>
      <c r="C108" t="s">
        <v>2925</v>
      </c>
      <c r="D108" t="s">
        <v>2926</v>
      </c>
      <c r="E108" t="s">
        <v>2927</v>
      </c>
      <c r="F108" s="89" t="str">
        <f t="shared" si="3"/>
        <v>Rewards Projects P/L, Lot 103 Packsaddle Road, Kununurra</v>
      </c>
    </row>
    <row r="109" spans="2:6" x14ac:dyDescent="0.25">
      <c r="B109" t="s">
        <v>2928</v>
      </c>
      <c r="C109" t="s">
        <v>2929</v>
      </c>
      <c r="D109" t="s">
        <v>2930</v>
      </c>
      <c r="E109" t="s">
        <v>2931</v>
      </c>
      <c r="F109" s="89" t="str">
        <f t="shared" si="3"/>
        <v>Ridgewood Farm, 251 Grimwade Rd, Balingup</v>
      </c>
    </row>
    <row r="110" spans="2:6" x14ac:dyDescent="0.25">
      <c r="B110" t="s">
        <v>2932</v>
      </c>
      <c r="C110" t="s">
        <v>2933</v>
      </c>
      <c r="D110" t="s">
        <v>2926</v>
      </c>
      <c r="E110" t="s">
        <v>2934</v>
      </c>
      <c r="F110" s="89" t="str">
        <f t="shared" si="3"/>
        <v>Riverfarm Mangoes and Papaya, Lot 215 Riverfarm Rd, Kununurra</v>
      </c>
    </row>
    <row r="111" spans="2:6" x14ac:dyDescent="0.25">
      <c r="B111" t="s">
        <v>2935</v>
      </c>
      <c r="C111" t="s">
        <v>2936</v>
      </c>
      <c r="D111" t="s">
        <v>2937</v>
      </c>
      <c r="E111" t="s">
        <v>2938</v>
      </c>
      <c r="F111" s="89" t="str">
        <f t="shared" si="3"/>
        <v>RL and JA Dean, 185 Wowra Drive, Gingin</v>
      </c>
    </row>
    <row r="112" spans="2:6" x14ac:dyDescent="0.25">
      <c r="B112" t="s">
        <v>2939</v>
      </c>
      <c r="C112" t="s">
        <v>2940</v>
      </c>
      <c r="D112" t="s">
        <v>2941</v>
      </c>
      <c r="E112" t="s">
        <v>2942</v>
      </c>
      <c r="F112" s="89" t="str">
        <f t="shared" si="3"/>
        <v>RV Rutten, Lot 956 Blackboy Flats Rd, Bridgetown</v>
      </c>
    </row>
    <row r="113" spans="2:6" x14ac:dyDescent="0.25">
      <c r="B113" t="s">
        <v>2943</v>
      </c>
      <c r="C113" t="s">
        <v>2944</v>
      </c>
      <c r="D113" t="s">
        <v>2702</v>
      </c>
      <c r="E113" t="s">
        <v>2945</v>
      </c>
      <c r="F113" s="89" t="str">
        <f t="shared" si="3"/>
        <v>Son Grower, 55 Grisker Road, Wanneroo</v>
      </c>
    </row>
    <row r="114" spans="2:6" x14ac:dyDescent="0.25">
      <c r="B114" t="s">
        <v>2946</v>
      </c>
      <c r="C114" t="s">
        <v>2947</v>
      </c>
      <c r="D114" t="s">
        <v>2948</v>
      </c>
      <c r="E114" t="s">
        <v>2949</v>
      </c>
      <c r="F114" s="89" t="str">
        <f t="shared" si="3"/>
        <v>South Pacific Seeds Pty Ltd, 48 - 50 Willandra Ave, Griffith Nsw</v>
      </c>
    </row>
    <row r="115" spans="2:6" x14ac:dyDescent="0.25">
      <c r="B115" t="s">
        <v>2950</v>
      </c>
      <c r="C115" t="s">
        <v>2951</v>
      </c>
      <c r="D115" t="s">
        <v>2952</v>
      </c>
      <c r="E115" t="s">
        <v>2953</v>
      </c>
      <c r="F115" s="89" t="str">
        <f t="shared" si="3"/>
        <v>SP Hay, Great Southern Highway, Brookton</v>
      </c>
    </row>
    <row r="116" spans="2:6" x14ac:dyDescent="0.25">
      <c r="B116" t="s">
        <v>2954</v>
      </c>
      <c r="C116" t="s">
        <v>2955</v>
      </c>
      <c r="D116" t="s">
        <v>2485</v>
      </c>
      <c r="E116" t="s">
        <v>2956</v>
      </c>
      <c r="F116" s="89" t="str">
        <f t="shared" si="3"/>
        <v>SR &amp; KL Read, Loc. 2073 Springall Street, Manjimup</v>
      </c>
    </row>
    <row r="117" spans="2:6" x14ac:dyDescent="0.25">
      <c r="B117" t="s">
        <v>2957</v>
      </c>
      <c r="C117" t="s">
        <v>2958</v>
      </c>
      <c r="D117" t="s">
        <v>2959</v>
      </c>
      <c r="E117" t="s">
        <v>2960</v>
      </c>
      <c r="F117" s="89" t="str">
        <f t="shared" si="3"/>
        <v>SR and EJ Magistro, 113 Taylor Rd, North Jindong</v>
      </c>
    </row>
    <row r="118" spans="2:6" x14ac:dyDescent="0.25">
      <c r="B118" t="s">
        <v>2961</v>
      </c>
      <c r="C118" t="s">
        <v>2962</v>
      </c>
      <c r="D118" t="s">
        <v>2626</v>
      </c>
      <c r="E118" t="s">
        <v>2963</v>
      </c>
      <c r="F118" s="89" t="str">
        <f t="shared" si="3"/>
        <v>Strathspey, 787 Patterson Rd, Pickering Brook</v>
      </c>
    </row>
    <row r="119" spans="2:6" x14ac:dyDescent="0.25">
      <c r="B119" t="s">
        <v>2964</v>
      </c>
      <c r="C119" t="s">
        <v>2965</v>
      </c>
      <c r="D119" t="s">
        <v>2765</v>
      </c>
      <c r="E119" t="s">
        <v>2966</v>
      </c>
      <c r="F119" s="89" t="str">
        <f t="shared" si="3"/>
        <v>Strathspey Pty Ltd, 173 Canning Rd, Karragullen</v>
      </c>
    </row>
    <row r="120" spans="2:6" x14ac:dyDescent="0.25">
      <c r="B120" t="s">
        <v>2967</v>
      </c>
      <c r="C120" t="s">
        <v>2975</v>
      </c>
      <c r="D120" t="s">
        <v>2976</v>
      </c>
      <c r="E120" t="s">
        <v>2977</v>
      </c>
      <c r="F120" s="89" t="str">
        <f t="shared" si="3"/>
        <v>Strawberry Fields, 2024 Wanneroo Road, Neerabup</v>
      </c>
    </row>
    <row r="121" spans="2:6" x14ac:dyDescent="0.25">
      <c r="B121" t="s">
        <v>2978</v>
      </c>
      <c r="C121" t="s">
        <v>2771</v>
      </c>
      <c r="D121" t="s">
        <v>2485</v>
      </c>
      <c r="E121" t="s">
        <v>2979</v>
      </c>
      <c r="F121" s="89" t="str">
        <f t="shared" si="3"/>
        <v>T and C Luzny, Graphite Rd, Manjimup</v>
      </c>
    </row>
    <row r="122" spans="2:6" x14ac:dyDescent="0.25">
      <c r="B122" t="s">
        <v>2980</v>
      </c>
      <c r="C122" t="s">
        <v>2981</v>
      </c>
      <c r="D122" t="s">
        <v>2530</v>
      </c>
      <c r="E122" t="s">
        <v>2982</v>
      </c>
      <c r="F122" s="89" t="str">
        <f t="shared" si="3"/>
        <v>Tassone Orchards Pty Ltd, 87 Grimwade Rd, Kirup</v>
      </c>
    </row>
    <row r="123" spans="2:6" x14ac:dyDescent="0.25">
      <c r="B123" t="s">
        <v>2983</v>
      </c>
      <c r="C123" t="s">
        <v>2984</v>
      </c>
      <c r="D123" t="s">
        <v>2985</v>
      </c>
      <c r="E123" t="s">
        <v>2986</v>
      </c>
      <c r="F123" s="89" t="str">
        <f t="shared" si="3"/>
        <v>Terranova Seeds Pty Ltd, Unit 13 / 19 Chifley St, Smithfield  Nsw</v>
      </c>
    </row>
    <row r="124" spans="2:6" x14ac:dyDescent="0.25">
      <c r="B124" t="s">
        <v>2987</v>
      </c>
      <c r="C124" t="s">
        <v>2988</v>
      </c>
      <c r="D124" t="s">
        <v>2523</v>
      </c>
      <c r="E124" t="s">
        <v>2989</v>
      </c>
      <c r="F124" s="89" t="str">
        <f t="shared" si="3"/>
        <v>The Avocado Grove, 89 Bailey Rd, Carabooda</v>
      </c>
    </row>
    <row r="125" spans="2:6" x14ac:dyDescent="0.25">
      <c r="B125" t="s">
        <v>2990</v>
      </c>
      <c r="C125" t="s">
        <v>2991</v>
      </c>
      <c r="D125" t="s">
        <v>2893</v>
      </c>
      <c r="E125" t="s">
        <v>2992</v>
      </c>
      <c r="F125" s="89" t="str">
        <f t="shared" si="3"/>
        <v>The Berry Farm, 43 Bessell Rd, Margaret River</v>
      </c>
    </row>
    <row r="126" spans="2:6" x14ac:dyDescent="0.25">
      <c r="B126" t="s">
        <v>2993</v>
      </c>
      <c r="C126" t="s">
        <v>2994</v>
      </c>
      <c r="D126" t="s">
        <v>2485</v>
      </c>
      <c r="E126" t="s">
        <v>2995</v>
      </c>
      <c r="F126" s="89" t="str">
        <f t="shared" si="3"/>
        <v>Thomas Frank Winfield, Appadene Road, Manjimup</v>
      </c>
    </row>
    <row r="127" spans="2:6" x14ac:dyDescent="0.25">
      <c r="B127" t="s">
        <v>2996</v>
      </c>
      <c r="C127" t="s">
        <v>2997</v>
      </c>
      <c r="D127" t="s">
        <v>2702</v>
      </c>
      <c r="E127" t="s">
        <v>2998</v>
      </c>
      <c r="F127" s="89" t="str">
        <f t="shared" si="3"/>
        <v>TI Produce Marketing, 5 Hawkins Road, Wanneroo</v>
      </c>
    </row>
    <row r="128" spans="2:6" x14ac:dyDescent="0.25">
      <c r="B128" t="s">
        <v>2999</v>
      </c>
      <c r="C128" t="s">
        <v>3000</v>
      </c>
      <c r="D128" t="s">
        <v>2523</v>
      </c>
      <c r="E128" t="s">
        <v>3001</v>
      </c>
      <c r="F128" s="89" t="str">
        <f t="shared" si="3"/>
        <v>TLF Export Co, 108 Safari Place, Carabooda</v>
      </c>
    </row>
    <row r="129" spans="2:6" x14ac:dyDescent="0.25">
      <c r="B129" t="s">
        <v>3002</v>
      </c>
      <c r="C129" t="s">
        <v>3003</v>
      </c>
      <c r="D129" t="s">
        <v>2612</v>
      </c>
      <c r="E129" t="s">
        <v>3004</v>
      </c>
      <c r="F129" s="89" t="str">
        <f t="shared" si="3"/>
        <v>Tran Van Me, Lot 926 Chapman Rd, Geraldton</v>
      </c>
    </row>
    <row r="130" spans="2:6" x14ac:dyDescent="0.25">
      <c r="B130" t="s">
        <v>3005</v>
      </c>
      <c r="C130" t="s">
        <v>3006</v>
      </c>
      <c r="D130" t="s">
        <v>2485</v>
      </c>
      <c r="E130" t="s">
        <v>0</v>
      </c>
      <c r="F130" s="89" t="str">
        <f t="shared" si="3"/>
        <v>Twin Lakes Holdings, Nelson Location 10625 Perup Road, Manjimup</v>
      </c>
    </row>
    <row r="131" spans="2:6" x14ac:dyDescent="0.25">
      <c r="B131" t="s">
        <v>1</v>
      </c>
      <c r="C131" t="s">
        <v>2</v>
      </c>
      <c r="D131" t="s">
        <v>2626</v>
      </c>
      <c r="E131" t="s">
        <v>3</v>
      </c>
      <c r="F131" s="89" t="str">
        <f t="shared" si="3"/>
        <v>V Della Franca and Co, 211 Pickering Brook Rd, Pickering Brook</v>
      </c>
    </row>
    <row r="132" spans="2:6" x14ac:dyDescent="0.25">
      <c r="B132" t="s">
        <v>4</v>
      </c>
      <c r="C132" t="s">
        <v>14</v>
      </c>
      <c r="D132" t="s">
        <v>15</v>
      </c>
      <c r="E132" t="s">
        <v>16</v>
      </c>
      <c r="F132" s="89" t="str">
        <f t="shared" si="3"/>
        <v>Van Ly Nguyen and Nhung To, Lot 2 Mullewa Road, Moonyoorook</v>
      </c>
    </row>
    <row r="133" spans="2:6" x14ac:dyDescent="0.25">
      <c r="B133" t="s">
        <v>17</v>
      </c>
      <c r="C133" t="s">
        <v>18</v>
      </c>
      <c r="D133" t="s">
        <v>19</v>
      </c>
      <c r="E133" t="s">
        <v>20</v>
      </c>
      <c r="F133" s="89" t="str">
        <f t="shared" si="3"/>
        <v>VH &amp; VN Doan, 44 Joyce Road, Gnangarra</v>
      </c>
    </row>
    <row r="134" spans="2:6" x14ac:dyDescent="0.25">
      <c r="B134" t="s">
        <v>21</v>
      </c>
      <c r="C134" t="s">
        <v>22</v>
      </c>
      <c r="D134" t="s">
        <v>2493</v>
      </c>
      <c r="E134" t="s">
        <v>23</v>
      </c>
      <c r="F134" s="89" t="str">
        <f t="shared" si="3"/>
        <v>VP and EA Farrell, Hawk Road, Pemberton</v>
      </c>
    </row>
    <row r="135" spans="2:6" x14ac:dyDescent="0.25">
      <c r="B135" t="s">
        <v>24</v>
      </c>
      <c r="C135" t="s">
        <v>25</v>
      </c>
      <c r="D135" t="s">
        <v>2655</v>
      </c>
      <c r="E135" t="s">
        <v>26</v>
      </c>
      <c r="F135" s="89" t="str">
        <f t="shared" si="3"/>
        <v>W French and Co, Loc 10060, Channybearup Rd, West Pemberton</v>
      </c>
    </row>
    <row r="136" spans="2:6" x14ac:dyDescent="0.25">
      <c r="B136" t="s">
        <v>27</v>
      </c>
      <c r="C136" t="s">
        <v>28</v>
      </c>
      <c r="D136" t="s">
        <v>2523</v>
      </c>
      <c r="E136" t="s">
        <v>29</v>
      </c>
      <c r="F136" s="89" t="str">
        <f t="shared" si="3"/>
        <v>Wesgrowers Pty Ltd, 250 Bernard Rd North, Carabooda</v>
      </c>
    </row>
    <row r="137" spans="2:6" x14ac:dyDescent="0.25">
      <c r="B137" t="s">
        <v>30</v>
      </c>
      <c r="C137" t="s">
        <v>31</v>
      </c>
      <c r="D137" t="s">
        <v>2530</v>
      </c>
      <c r="E137" t="s">
        <v>32</v>
      </c>
      <c r="F137" s="89" t="str">
        <f t="shared" ref="F137:F142" si="4">B137 &amp; ", " &amp; C137 &amp; ", " &amp; D137</f>
        <v>Westland Orchards, Lot 131 Sth West Hwy, Kirup</v>
      </c>
    </row>
    <row r="138" spans="2:6" x14ac:dyDescent="0.25">
      <c r="B138" t="s">
        <v>33</v>
      </c>
      <c r="C138" t="s">
        <v>34</v>
      </c>
      <c r="D138" t="s">
        <v>2485</v>
      </c>
      <c r="E138" t="s">
        <v>35</v>
      </c>
      <c r="F138" s="89" t="str">
        <f t="shared" si="4"/>
        <v>Winterbrook Avocados, Lot 5 Loc 3722 Graphite Rd, Manjimup</v>
      </c>
    </row>
    <row r="139" spans="2:6" x14ac:dyDescent="0.25">
      <c r="B139" t="s">
        <v>36</v>
      </c>
      <c r="C139" t="s">
        <v>37</v>
      </c>
      <c r="D139" t="s">
        <v>38</v>
      </c>
      <c r="E139" t="s">
        <v>39</v>
      </c>
      <c r="F139" s="89" t="str">
        <f t="shared" si="4"/>
        <v>Worldlink International, 71 Affleck Rd, Perth International Airport</v>
      </c>
    </row>
    <row r="140" spans="2:6" x14ac:dyDescent="0.25">
      <c r="B140" t="s">
        <v>40</v>
      </c>
      <c r="C140" t="s">
        <v>41</v>
      </c>
      <c r="D140" t="s">
        <v>2706</v>
      </c>
      <c r="E140" t="s">
        <v>42</v>
      </c>
      <c r="F140" s="89" t="str">
        <f t="shared" si="4"/>
        <v>WR &amp; RA Tweedie, 382 Chesterpass Rd, Albany</v>
      </c>
    </row>
    <row r="141" spans="2:6" x14ac:dyDescent="0.25">
      <c r="B141" t="s">
        <v>43</v>
      </c>
      <c r="C141" t="s">
        <v>44</v>
      </c>
      <c r="D141" t="s">
        <v>2530</v>
      </c>
      <c r="E141" t="s">
        <v>45</v>
      </c>
      <c r="F141" s="89" t="str">
        <f t="shared" si="4"/>
        <v>Wringe and Quick, 1454 Upper Capel Rd, Kirup</v>
      </c>
    </row>
    <row r="142" spans="2:6" x14ac:dyDescent="0.25">
      <c r="F142" s="89" t="str">
        <f t="shared" si="4"/>
        <v xml:space="preserve">, , </v>
      </c>
    </row>
  </sheetData>
  <phoneticPr fontId="3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mdDirectionOrders">
          <controlPr defaultSize="0" autoLine="0" r:id="rId5">
            <anchor moveWithCells="1">
              <from>
                <xdr:col>1</xdr:col>
                <xdr:colOff>175260</xdr:colOff>
                <xdr:row>2</xdr:row>
                <xdr:rowOff>38100</xdr:rowOff>
              </from>
              <to>
                <xdr:col>1</xdr:col>
                <xdr:colOff>2301240</xdr:colOff>
                <xdr:row>3</xdr:row>
                <xdr:rowOff>114300</xdr:rowOff>
              </to>
            </anchor>
          </controlPr>
        </control>
      </mc:Choice>
      <mc:Fallback>
        <control shapeId="9217" r:id="rId4" name="cmdDirectionOrders"/>
      </mc:Fallback>
    </mc:AlternateContent>
  </controls>
  <tableParts count="1">
    <tablePart r:id="rId6"/>
  </tableParts>
</worksheet>
</file>

<file path=customUI/customUI14.xml><?xml version="1.0" encoding="utf-8"?>
<customUI xmlns="http://schemas.microsoft.com/office/2009/07/customui">
  <ribbon startFromScratch="false">
    <tabs>
      <tab id="tabPIRSA" label="PIRSA">
        <group id="grpQDO" label="QDO">
          <button id="btnNew" label="New" imageMso="RecordsAddFromOutlook" size="large" onAction="Callback"/>
          <button id="btnEdit" label="Edit" imageMso="TableStyleClear" size="large" onAction="Callback"/>
          <button id="btnSaveAs" label="Save As" imageMso="Copy" size="large" onAction="Callback"/>
        </group>
        <group id="grpNav" label="Navigation">
          <button id="btnFirst" label="First" imageMso="ShapeRoundedRectangle" size="large" onAction="Callback"/>
          <button id="btnBack" label="Back" imageMso="ShapeLeftArrow" size="large" onAction="Callback"/>
          <button id="btnForward" label="Forward" size="large" onAction="Callback" imageMso="ShapeRightArrow"/>
          <button id="btnLast" label="Last" size="large" onAction="Callback" imageMso="ShapeRoundedRectangle"/>
        </group>
        <group id="grpShare" label="Share">
          <button id="btnPrint" label="Print" size="large" onAction="Callback" imageMso="FilePrint"/>
          <button id="btnPrintPreview" label="Print Preview" size="large" onAction="Callback" imageMso="FilePrintPreview"/>
          <button id="btnEmail" label="Email" size="large" onAction="Callback" imageMso="FileSendAsAttachment"/>
        </group>
        <group id="grpOptions" label="Options">
          <checkBox id="chkHideOldSheetControls" label="Hide Old Sheet Control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56</vt:i4>
      </vt:variant>
    </vt:vector>
  </HeadingPairs>
  <TitlesOfParts>
    <vt:vector size="59" baseType="lpstr">
      <vt:lpstr>DOrder</vt:lpstr>
      <vt:lpstr>Data</vt:lpstr>
      <vt:lpstr>Details</vt:lpstr>
      <vt:lpstr>Anchor</vt:lpstr>
      <vt:lpstr>CommonFurtherDirections</vt:lpstr>
      <vt:lpstr>CommonOtherReasons</vt:lpstr>
      <vt:lpstr>CompanyAddress</vt:lpstr>
      <vt:lpstr>CompanyName</vt:lpstr>
      <vt:lpstr>ContactDetails</vt:lpstr>
      <vt:lpstr>Conveyance</vt:lpstr>
      <vt:lpstr>DData</vt:lpstr>
      <vt:lpstr>Directions</vt:lpstr>
      <vt:lpstr>DOCompanies</vt:lpstr>
      <vt:lpstr>DOData</vt:lpstr>
      <vt:lpstr>DONum</vt:lpstr>
      <vt:lpstr>DONums</vt:lpstr>
      <vt:lpstr>DriverAddress</vt:lpstr>
      <vt:lpstr>DriverDate</vt:lpstr>
      <vt:lpstr>DriverLicence</vt:lpstr>
      <vt:lpstr>DriverName</vt:lpstr>
      <vt:lpstr>DriverTime</vt:lpstr>
      <vt:lpstr>ETA</vt:lpstr>
      <vt:lpstr>Exporters</vt:lpstr>
      <vt:lpstr>FurtherDirections</vt:lpstr>
      <vt:lpstr>Importers</vt:lpstr>
      <vt:lpstr>InspectorDate</vt:lpstr>
      <vt:lpstr>InspectorDetails</vt:lpstr>
      <vt:lpstr>InspectorID</vt:lpstr>
      <vt:lpstr>InspectorName</vt:lpstr>
      <vt:lpstr>InspectorTime</vt:lpstr>
      <vt:lpstr>ItemDescription</vt:lpstr>
      <vt:lpstr>ItemDestination</vt:lpstr>
      <vt:lpstr>ItemDestinationAddress</vt:lpstr>
      <vt:lpstr>ItemDestinationPhone</vt:lpstr>
      <vt:lpstr>ItemOrigin</vt:lpstr>
      <vt:lpstr>ItemOriginAddress</vt:lpstr>
      <vt:lpstr>ItemOriginIfDiff</vt:lpstr>
      <vt:lpstr>ItemPackaging</vt:lpstr>
      <vt:lpstr>ItemQuantity</vt:lpstr>
      <vt:lpstr>LAnchor</vt:lpstr>
      <vt:lpstr>Location</vt:lpstr>
      <vt:lpstr>OtherAction</vt:lpstr>
      <vt:lpstr>OtherReasons</vt:lpstr>
      <vt:lpstr>PackageTypes</vt:lpstr>
      <vt:lpstr>DOrder!Print_Area</vt:lpstr>
      <vt:lpstr>Produce</vt:lpstr>
      <vt:lpstr>Roadblocks</vt:lpstr>
      <vt:lpstr>SignOffDate</vt:lpstr>
      <vt:lpstr>SignOffName</vt:lpstr>
      <vt:lpstr>StaffCED</vt:lpstr>
      <vt:lpstr>StaffOOD</vt:lpstr>
      <vt:lpstr>StaffPIN</vt:lpstr>
      <vt:lpstr>StaffPKA</vt:lpstr>
      <vt:lpstr>StaffREG</vt:lpstr>
      <vt:lpstr>StaffYAM</vt:lpstr>
      <vt:lpstr>TANCHOR</vt:lpstr>
      <vt:lpstr>TData</vt:lpstr>
      <vt:lpstr>TTrucks</vt:lpstr>
      <vt:lpstr>VehicleReg</vt:lpstr>
    </vt:vector>
  </TitlesOfParts>
  <Company>PIRSA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Lefty</dc:creator>
  <cp:lastModifiedBy>Luciano</cp:lastModifiedBy>
  <cp:lastPrinted>2017-11-29T21:29:36Z</cp:lastPrinted>
  <dcterms:created xsi:type="dcterms:W3CDTF">2009-04-02T22:04:41Z</dcterms:created>
  <dcterms:modified xsi:type="dcterms:W3CDTF">2017-12-01T02:02:02Z</dcterms:modified>
</cp:coreProperties>
</file>